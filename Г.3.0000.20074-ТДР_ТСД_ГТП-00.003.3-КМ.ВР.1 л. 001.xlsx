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Игорь\Desktop\BDOS\для обработки\"/>
    </mc:Choice>
  </mc:AlternateContent>
  <bookViews>
    <workbookView xWindow="150" yWindow="105" windowWidth="13425" windowHeight="11640" activeTab="1"/>
  </bookViews>
  <sheets>
    <sheet name="Инструкция" sheetId="1" r:id="rId1"/>
    <sheet name="ВР_ИЗМ" sheetId="9" r:id="rId2"/>
    <sheet name="Штамп" sheetId="7" r:id="rId3"/>
  </sheets>
  <externalReferences>
    <externalReference r:id="rId4"/>
    <externalReference r:id="rId5"/>
  </externalReferences>
  <definedNames>
    <definedName name="_MM01">[2]ГрМТР!#REF!</definedName>
    <definedName name="_MM02">[2]ГрМТР!#REF!</definedName>
    <definedName name="_MM03">[2]ГрМТР!#REF!</definedName>
    <definedName name="_MM04">[2]ГрМТР!#REF!</definedName>
    <definedName name="_MM05">[2]ГрМТР!#REF!</definedName>
    <definedName name="_MM06">[2]ГрМТР!#REF!</definedName>
    <definedName name="_MM07">[2]ГрМТР!#REF!</definedName>
    <definedName name="_MM08">[2]ГрМТР!#REF!</definedName>
    <definedName name="_MM09">[2]ГрМТР!#REF!</definedName>
    <definedName name="_MM10">[2]ГрМТР!#REF!</definedName>
    <definedName name="_MM11">[2]ГрМТР!#REF!</definedName>
    <definedName name="_MM12">[2]ГрМТР!#REF!</definedName>
    <definedName name="_MM13">[2]ГрМТР!#REF!</definedName>
    <definedName name="_MM14">[2]ГрМТР!#REF!</definedName>
    <definedName name="_MM15">[2]ГрМТР!#REF!</definedName>
    <definedName name="_mm16">[2]ГрМТР!#REF!</definedName>
    <definedName name="_mm17">[2]ГрМТР!#REF!</definedName>
    <definedName name="_mm18">[2]ГрМТР!#REF!</definedName>
    <definedName name="_mm19">[2]ГрМТР!#REF!</definedName>
    <definedName name="_mm20">[2]ГрМТР!#REF!</definedName>
    <definedName name="_mm21">[2]ГрМТР!#REF!</definedName>
    <definedName name="_MN09">[2]ГрМТР!#REF!</definedName>
    <definedName name="_MN10">[2]ГрМТР!#REF!</definedName>
    <definedName name="_MN11">[2]ГрМТР!#REF!</definedName>
    <definedName name="_MN12">[2]ГрМТР!#REF!</definedName>
    <definedName name="MNFullTitle">[2]ГрМТР!#REF!</definedName>
    <definedName name="MNFullTitle2">[2]ГрМТР!#REF!</definedName>
    <definedName name="name1">[2]ГрМТР!#REF!</definedName>
    <definedName name="name2">[2]ГрМТР!#REF!</definedName>
    <definedName name="PricePrim">[2]ГрМТР!#REF!</definedName>
    <definedName name="PricePrim2">[2]ГрМТР!#REF!</definedName>
    <definedName name="PZS_Ob">[2]ГрМТР!#REF!</definedName>
    <definedName name="PZS_TERM">[2]ГрМТР!#REF!</definedName>
    <definedName name="PZS_YR">[2]ГрМТР!#REF!</definedName>
    <definedName name="PZSNumber">[2]ГрМТР!#REF!</definedName>
    <definedName name="_rub1">[2]ГрМТР!#REF!</definedName>
    <definedName name="_rub2">[2]ГрМТР!#REF!</definedName>
    <definedName name="_Sum1">[2]ГрМТР!#REF!</definedName>
    <definedName name="_sum2">[2]ГрМТР!#REF!</definedName>
    <definedName name="Z_A1A80B5C_2CE2_4C99_93FF_BF9E8876EAD0_.wvu.PrintArea" localSheetId="1" hidden="1">ВР_ИЗМ!#REF!</definedName>
    <definedName name="апро">[1]Лист2!$A$1:$A$3</definedName>
    <definedName name="_xlnm.Print_Area" localSheetId="1">ВР_ИЗМ!$A$1:$N$147</definedName>
  </definedNames>
  <calcPr calcId="162913"/>
  <customWorkbookViews>
    <customWorkbookView name="FIL_EXPERT - Личное представление" guid="{A1A80B5C-2CE2-4C99-93FF-BF9E8876EAD0}" mergeInterval="0" personalView="1" maximized="1" windowWidth="1276" windowHeight="806" activeSheetId="5" showComments="commIndAndComment"/>
  </customWorkbookViews>
</workbook>
</file>

<file path=xl/calcChain.xml><?xml version="1.0" encoding="utf-8"?>
<calcChain xmlns="http://schemas.openxmlformats.org/spreadsheetml/2006/main">
  <c r="U30" i="9" l="1"/>
  <c r="V30" i="9"/>
  <c r="V7" i="9"/>
  <c r="W7" i="9"/>
  <c r="O137" i="9"/>
  <c r="P137" i="9"/>
  <c r="O138" i="9"/>
  <c r="Q137" i="9"/>
  <c r="O136" i="9"/>
  <c r="O120" i="9"/>
  <c r="P120" i="9"/>
  <c r="O128" i="9"/>
  <c r="O102" i="9"/>
  <c r="P116" i="9"/>
  <c r="O107" i="9"/>
  <c r="P107" i="9"/>
  <c r="S108" i="9"/>
  <c r="R108" i="9"/>
  <c r="T108" i="9"/>
  <c r="O108" i="9"/>
  <c r="U108" i="9"/>
  <c r="P118" i="9"/>
  <c r="P117" i="9"/>
  <c r="Q117" i="9"/>
  <c r="O88" i="9"/>
  <c r="P88" i="9"/>
  <c r="O116" i="9"/>
  <c r="Q116" i="9"/>
  <c r="T89" i="9"/>
  <c r="U89" i="9"/>
  <c r="O61" i="9"/>
  <c r="P84" i="9"/>
  <c r="Q84" i="9"/>
  <c r="R68" i="9"/>
  <c r="S68" i="9"/>
  <c r="O84" i="9"/>
  <c r="W32" i="9"/>
  <c r="S46" i="9"/>
  <c r="R45" i="9"/>
  <c r="S45" i="9"/>
  <c r="R15" i="9"/>
  <c r="S15" i="9"/>
  <c r="Q70" i="9"/>
  <c r="R70" i="9"/>
  <c r="O60" i="9"/>
  <c r="O76" i="9"/>
  <c r="O75" i="9"/>
  <c r="O74" i="9"/>
  <c r="O73" i="9"/>
  <c r="O72" i="9"/>
  <c r="O56" i="9"/>
  <c r="O118" i="9"/>
  <c r="Q118" i="9"/>
  <c r="O117" i="9"/>
  <c r="P108" i="9"/>
  <c r="T30" i="9"/>
  <c r="T7" i="9"/>
  <c r="U7" i="9"/>
  <c r="Q54" i="9"/>
  <c r="R54" i="9"/>
  <c r="O59" i="9"/>
  <c r="O58" i="9"/>
  <c r="O57" i="9"/>
  <c r="S36" i="9"/>
  <c r="R30" i="9"/>
  <c r="T34" i="9"/>
  <c r="T32" i="9"/>
  <c r="U32" i="9"/>
  <c r="S32" i="9"/>
  <c r="R7" i="9"/>
  <c r="S7" i="9"/>
  <c r="R47" i="9"/>
  <c r="R17" i="9"/>
  <c r="S47" i="9"/>
  <c r="Q46" i="9"/>
  <c r="P49" i="9"/>
  <c r="Q49" i="9"/>
  <c r="P50" i="9"/>
  <c r="Q50" i="9"/>
  <c r="P36" i="9"/>
  <c r="Q36" i="9"/>
  <c r="P45" i="9"/>
  <c r="Q32" i="9"/>
  <c r="Q30" i="9"/>
  <c r="P17" i="9"/>
  <c r="Q17" i="9"/>
  <c r="R18" i="9"/>
  <c r="S18" i="9"/>
  <c r="Q18" i="9"/>
  <c r="R25" i="9"/>
  <c r="S25" i="9"/>
  <c r="Q25" i="9"/>
  <c r="O70" i="9"/>
  <c r="P70" i="9"/>
  <c r="O68" i="9"/>
  <c r="P68" i="9"/>
  <c r="O54" i="9"/>
  <c r="P54" i="9"/>
  <c r="O91" i="9"/>
  <c r="R89" i="9"/>
  <c r="S89" i="9"/>
  <c r="Q15" i="9"/>
  <c r="P7" i="9"/>
  <c r="Q7" i="9"/>
  <c r="O86" i="9"/>
  <c r="O36" i="9"/>
  <c r="O45" i="9"/>
  <c r="Q45" i="9"/>
  <c r="P89" i="9"/>
  <c r="Q89" i="9"/>
  <c r="O89" i="9"/>
  <c r="O33" i="9"/>
  <c r="O7" i="9"/>
  <c r="O30" i="9"/>
  <c r="O32" i="9"/>
  <c r="X18" i="7"/>
  <c r="Q108" i="9"/>
</calcChain>
</file>

<file path=xl/sharedStrings.xml><?xml version="1.0" encoding="utf-8"?>
<sst xmlns="http://schemas.openxmlformats.org/spreadsheetml/2006/main" count="1474" uniqueCount="348">
  <si>
    <t>Стадия</t>
  </si>
  <si>
    <t>Листов</t>
  </si>
  <si>
    <t>Р</t>
  </si>
  <si>
    <t>Проверил</t>
  </si>
  <si>
    <t/>
  </si>
  <si>
    <t>Разработал</t>
  </si>
  <si>
    <t>Н. контр.</t>
  </si>
  <si>
    <t>Н.контр.</t>
  </si>
  <si>
    <t>Инв. № подп.</t>
  </si>
  <si>
    <t>Подпись и дата</t>
  </si>
  <si>
    <t>Взам инв. №</t>
  </si>
  <si>
    <t>Ширину колонок и строк не изменять</t>
  </si>
  <si>
    <t>Согласовано:</t>
  </si>
  <si>
    <t>Таблица изменений по листам (начиная со 2-го)</t>
  </si>
  <si>
    <t>№ ЛИСТА</t>
  </si>
  <si>
    <t>Кол. уч.</t>
  </si>
  <si>
    <t xml:space="preserve">Изменения должны располагаться </t>
  </si>
  <si>
    <t>в таблице в хронологическом порядке</t>
  </si>
  <si>
    <t>Примечание</t>
  </si>
  <si>
    <t>Вып.</t>
  </si>
  <si>
    <t>Выпустил</t>
  </si>
  <si>
    <t>Разрешение 12ХХ-08</t>
  </si>
  <si>
    <t>Гл. спец.</t>
  </si>
  <si>
    <t xml:space="preserve">
</t>
  </si>
  <si>
    <t>11.08</t>
  </si>
  <si>
    <t>№  док.</t>
  </si>
  <si>
    <t>Поле информации на 1 лист</t>
  </si>
  <si>
    <t>Информация об объекте</t>
  </si>
  <si>
    <t xml:space="preserve">Таблица корректировок работает,  </t>
  </si>
  <si>
    <t>если нет информации в боковом штампе</t>
  </si>
  <si>
    <t>в ячейках AD3, AE3 - она</t>
  </si>
  <si>
    <t xml:space="preserve"> распространяется на весь документ</t>
  </si>
  <si>
    <t>В колонке Изм. Вводить номер замечания</t>
  </si>
  <si>
    <t>(цифра)</t>
  </si>
  <si>
    <t>В колонку Корр. вводить номер кор.</t>
  </si>
  <si>
    <t>№</t>
  </si>
  <si>
    <t>Наименование</t>
  </si>
  <si>
    <t>Ед.изм.</t>
  </si>
  <si>
    <t>Всего</t>
  </si>
  <si>
    <t>Погудин</t>
  </si>
  <si>
    <t>Нач.отд.</t>
  </si>
  <si>
    <t>Белинский</t>
  </si>
  <si>
    <t>Гл.спец.</t>
  </si>
  <si>
    <t>Лукин</t>
  </si>
  <si>
    <t>Инв. №</t>
  </si>
  <si>
    <t>Привязан</t>
  </si>
  <si>
    <t>Разраб</t>
  </si>
  <si>
    <t>Навание обекта</t>
  </si>
  <si>
    <t>Ширина колонки А задается автоматически.</t>
  </si>
  <si>
    <t>Если правая граница колонки не совпадает с правой границей штампа,</t>
  </si>
  <si>
    <t>Конечная строка определяется по колонке В:</t>
  </si>
  <si>
    <t>Разграфить колонки и строки пользователь должен сам. Строки рекомендется подчеркивать тонкими</t>
  </si>
  <si>
    <t>линиями.</t>
  </si>
  <si>
    <t>Батурбаева</t>
  </si>
  <si>
    <t>Штамп корректировки</t>
  </si>
  <si>
    <t>Власов</t>
  </si>
  <si>
    <t>Шапка должна начинаться с 1 строки. Количество строк под шапку надо задать в параметрах страницы:</t>
  </si>
  <si>
    <t>на пример точку. В последующих строках в этой колонке не должно быть информации.</t>
  </si>
  <si>
    <t>Для вывода на печать необходимо задать Границу печати следующим путем:</t>
  </si>
  <si>
    <t>Вид\Разметка страницы;</t>
  </si>
  <si>
    <t>при увеличении числа колонок:</t>
  </si>
  <si>
    <t>при уменьшении числа колонок:</t>
  </si>
  <si>
    <t>Переместить вправо границу печати на нужную колонку;</t>
  </si>
  <si>
    <t>синей (пунктирной) линии слева от границы печати.</t>
  </si>
  <si>
    <t xml:space="preserve">Переместить появившуюся линию вправо на границу печати. Так автоматически задали </t>
  </si>
  <si>
    <t>нужный процент отображения.</t>
  </si>
  <si>
    <t>в меню Файл\Параметры страницы на вкладке Страница увеличить масштаб до появления</t>
  </si>
  <si>
    <t>переместить на гранцу печати вправо.</t>
  </si>
  <si>
    <t>Выводимая на печать информация начинается с первой строки.</t>
  </si>
  <si>
    <t xml:space="preserve">Если появилось несколько синих линий (задали слишком большой масштаб), то все линии </t>
  </si>
  <si>
    <t>в строке до которой надо вывести информацию на печать, в колонке В вводим любой символ,</t>
  </si>
  <si>
    <t xml:space="preserve">В предварительном просмотре можно оценить как расложилась информация на листе после </t>
  </si>
  <si>
    <t>вставки штампов:</t>
  </si>
  <si>
    <t>желательно просмотреть все листы.</t>
  </si>
  <si>
    <t>~!'Gt)(+Jt&amp;&lt;&gt;FBg#y?KY#yrY67|*</t>
  </si>
  <si>
    <t>кнопкой Поля включить отображение маркеров колонок и границ страницы;</t>
  </si>
  <si>
    <t xml:space="preserve">если правая граница информации слишком далеко от правой границы страницы, </t>
  </si>
  <si>
    <t>границы страниц менять нельзя;</t>
  </si>
  <si>
    <t>Если штампы вставились неправильно, то повторите операцию вставки штампов.</t>
  </si>
  <si>
    <t xml:space="preserve">Часто это происходит после изменения границ печати, ширины колонок, высоты строк.  </t>
  </si>
  <si>
    <t>то изменить границу колонки до границы штампа.</t>
  </si>
  <si>
    <t>При вставленных штампах удалять из колонки А нельзя. Там находится служебная информация.</t>
  </si>
  <si>
    <t>Переместить влево границу печати на нужную колонку;</t>
  </si>
  <si>
    <t>то маркером любой колонки переместить правую границу информации ближе к границе страницы;</t>
  </si>
  <si>
    <t>Надо изменить конечную цифру диапазона.</t>
  </si>
  <si>
    <t>в меню Файл\Параметры страницы на вкладке Лист поле Сквозные строки.</t>
  </si>
  <si>
    <t>Если слева от границы печати появилась еще одна (или несколько) синяя линяя, то переместить</t>
  </si>
  <si>
    <t>ее (их) на границу печати (вправо).</t>
  </si>
  <si>
    <t>Колонка А используется для вставки бокового штампа. Использовать ее для ввода информации нельзя.</t>
  </si>
  <si>
    <t>В запросе на выбор принтера указать принтер, на который будет происходить печать.</t>
  </si>
  <si>
    <t>В запросе на выбор штампа для первой страницы указать соответствующий номер.</t>
  </si>
  <si>
    <t>Количество</t>
  </si>
  <si>
    <t>Лист</t>
  </si>
  <si>
    <t>Изм.</t>
  </si>
  <si>
    <t>Кол. уч</t>
  </si>
  <si>
    <t>№ док</t>
  </si>
  <si>
    <t>Подп.</t>
  </si>
  <si>
    <t>Дата</t>
  </si>
  <si>
    <t>ГИП</t>
  </si>
  <si>
    <t>Изменения</t>
  </si>
  <si>
    <t>Филиал           
              ОАО «Гипротрубопровод»-
             «Тюменьгипротрубопровод»</t>
  </si>
  <si>
    <t>Для вставки штампов необходимо нажать кнопку ВставитьШтампы на панели управления.</t>
  </si>
  <si>
    <t>Кнопка УдалитьШтампы используется для удаления штампов и строк под штампы.</t>
  </si>
  <si>
    <t>Границу печати (сплошная синяя линия) можно передвинуть влево до нужной колонки.</t>
  </si>
  <si>
    <t>Например, до колонок F или L.</t>
  </si>
  <si>
    <t>Затем в параметрах страницы (Файл\ Параметры страницы) на вкладке Страница</t>
  </si>
  <si>
    <t>должна появиться синяя пунктирная линия. Ее надо перетащить на границу печати (синяя сплошная линия).</t>
  </si>
  <si>
    <t>установить масштаб отбражения 130, 140 процентов. Левее границы печати</t>
  </si>
  <si>
    <t xml:space="preserve">Таким образом Excel автоматически пересчитает масштаб отображения на странице. </t>
  </si>
  <si>
    <t>После этого надо удалить и вставить штампы.</t>
  </si>
  <si>
    <t>Таблица замены номеров листов</t>
  </si>
  <si>
    <t>№ Листа</t>
  </si>
  <si>
    <t>Номер нижний</t>
  </si>
  <si>
    <t>Номер верхний</t>
  </si>
  <si>
    <t>1</t>
  </si>
  <si>
    <t>2</t>
  </si>
  <si>
    <t>3</t>
  </si>
  <si>
    <t>4</t>
  </si>
  <si>
    <t>5</t>
  </si>
  <si>
    <t>6</t>
  </si>
  <si>
    <t>7</t>
  </si>
  <si>
    <t>Основание изменения/
вид работ</t>
  </si>
  <si>
    <t>1.1</t>
  </si>
  <si>
    <t>1.2</t>
  </si>
  <si>
    <t>1.3</t>
  </si>
  <si>
    <t>1.4</t>
  </si>
  <si>
    <t>1.5</t>
  </si>
  <si>
    <t>1.7</t>
  </si>
  <si>
    <t>т</t>
  </si>
  <si>
    <t>Ведомость объемов работ</t>
  </si>
  <si>
    <t>Филиал           
                «Тюменьгипротрубопровод»</t>
  </si>
  <si>
    <t xml:space="preserve">м2 </t>
  </si>
  <si>
    <t>1.8</t>
  </si>
  <si>
    <t>м2/т</t>
  </si>
  <si>
    <t>1.9</t>
  </si>
  <si>
    <t>1.10</t>
  </si>
  <si>
    <t>Раздел 1. Металлоконструкции</t>
  </si>
  <si>
    <t>Антикоррозийное покрытие</t>
  </si>
  <si>
    <t>Огнезащитное  покрытие</t>
  </si>
  <si>
    <t>проверка</t>
  </si>
  <si>
    <t>1.6</t>
  </si>
  <si>
    <t>Монтаж кровельного покрытия из профилированного листа
 С10-1000-0.7 окрашенного в заводских условиях, на козырьках и навесах</t>
  </si>
  <si>
    <t>Раздел 2. Кровля</t>
  </si>
  <si>
    <t>2.1</t>
  </si>
  <si>
    <t>м2</t>
  </si>
  <si>
    <t>2.2</t>
  </si>
  <si>
    <t xml:space="preserve">Прорезка отверстий в трехслойных панелях типа сэндвич под стаканы </t>
  </si>
  <si>
    <t>шт. /м</t>
  </si>
  <si>
    <t>Раздел 3. Стены</t>
  </si>
  <si>
    <t>3.1</t>
  </si>
  <si>
    <t>3.2</t>
  </si>
  <si>
    <t>3.3</t>
  </si>
  <si>
    <t xml:space="preserve">Резка панелей типа сэндвич (под оконные и дверные проемы) </t>
  </si>
  <si>
    <t>м</t>
  </si>
  <si>
    <t>Раздел 4. Герметизация узлов и стыков панелей</t>
  </si>
  <si>
    <t>4.1</t>
  </si>
  <si>
    <t>Герметизация узлов и стыков стеновых панелей герметиком силиконовым</t>
  </si>
  <si>
    <t>4.2</t>
  </si>
  <si>
    <t>Герметизация узлов и стыков кровельных панелей герметиком силиконовым</t>
  </si>
  <si>
    <t>4.3</t>
  </si>
  <si>
    <t>Герметизация узлов стеновых  монтажной пеной</t>
  </si>
  <si>
    <t>5.1</t>
  </si>
  <si>
    <t>5.2</t>
  </si>
  <si>
    <t>5.3</t>
  </si>
  <si>
    <t>5.4</t>
  </si>
  <si>
    <t>5.5</t>
  </si>
  <si>
    <t>Раздел 6. Монтажные соединения</t>
  </si>
  <si>
    <t>6.1</t>
  </si>
  <si>
    <t>Монтаж опорных конструций для систем  отопления и ВК (уголок, швеллер, лист б=4; 6; 8 мм (сталь С245)):</t>
  </si>
  <si>
    <t>1.11</t>
  </si>
  <si>
    <t>Монтаж опорных конструций системы автоматики (уголок, швеллер, труба электросварная, лист б=4; 6; 8 мм (сталь С245))</t>
  </si>
  <si>
    <t>8/22,000</t>
  </si>
  <si>
    <t>Раздел 5. Монтаж конструкций</t>
  </si>
  <si>
    <t>195,000</t>
  </si>
  <si>
    <t>Устройство переходных мостиков по кровле, лестниц, стренянок и ограждения кровли (сталь С255)</t>
  </si>
  <si>
    <t>Устройство креплений под оборудование и стаканов в конструкции кровли (сталь С255)</t>
  </si>
  <si>
    <t>Площадки обслуживания  (сталь С255, Ст3пс6)</t>
  </si>
  <si>
    <t>МНПП «Уфа-Западное направление». Строительство обхода г. Пенза. 2-й этап. Строительство ЛПДС «Пенза»
 Здание магистральной насосной.
Ведомость объемов работ</t>
  </si>
  <si>
    <t>Садов</t>
  </si>
  <si>
    <t>Вейбер</t>
  </si>
  <si>
    <t>Здание магистральной насосной</t>
  </si>
  <si>
    <t>7.1</t>
  </si>
  <si>
    <t>7.2</t>
  </si>
  <si>
    <t>Окраска металлоконструкций антикоррозионным покрытием АКП С3 (II) в соответствии с ОТТ-25.220.01-КТН-097-16.
- очистка, степень очистки Sa 2.5 (ГОСТ Р ИСО 8501-1-2014);
- обеспыливание, класс обеспыливания поверхности 2 (ИСО 8502-3);
- обезжиривание, степень обезжиривания 1 (ГОСТ 9.402-2004)</t>
  </si>
  <si>
    <t>Монтаж ограждающих конструкций стен из многослойных панелей заводской готовности при высоте здания до 10 м толщиной 100 мм</t>
  </si>
  <si>
    <t>Монтаж кровельного покрытия из многослойных панелей заводской готовности при высоте здания до 15 м толщиной 
150 мм</t>
  </si>
  <si>
    <t>Монтаж кровельного покрытия из профилированного листа 
НС44-1000-0.7 окрашенного в заводских условиях, на козырьках и навесах</t>
  </si>
  <si>
    <t>Δ</t>
  </si>
  <si>
    <t>-</t>
  </si>
  <si>
    <t>Зам</t>
  </si>
  <si>
    <t>Гасанов</t>
  </si>
  <si>
    <t>шт / т (Изм.1)</t>
  </si>
  <si>
    <r>
      <t xml:space="preserve">Монтажные соединения при монтаже металлоконструкций вести на высокопрочных болтах
</t>
    </r>
    <r>
      <rPr>
        <sz val="12"/>
        <color indexed="36"/>
        <rFont val="Times New Roman"/>
        <family val="1"/>
        <charset val="204"/>
      </rPr>
      <t>(Примечание: вес металлоконструкций здания, монтируемых на высокопрочных болтах - 29,128 тн)</t>
    </r>
  </si>
  <si>
    <t>2964/0,889</t>
  </si>
  <si>
    <t>- / -</t>
  </si>
  <si>
    <t>Раздел 8. Площадка ПМ-3 (лист 16).</t>
  </si>
  <si>
    <t>8.1</t>
  </si>
  <si>
    <t>8.2</t>
  </si>
  <si>
    <t>8.3</t>
  </si>
  <si>
    <t>Раздел 9.Ходовые мостики по покрытию, вертикальные лестницы (лист 17)</t>
  </si>
  <si>
    <t>9.1</t>
  </si>
  <si>
    <t>9.2</t>
  </si>
  <si>
    <t>9.3</t>
  </si>
  <si>
    <t>10,222/0,066</t>
  </si>
  <si>
    <t>8,548/0,071</t>
  </si>
  <si>
    <t>1.11.1</t>
  </si>
  <si>
    <t>52/66,87</t>
  </si>
  <si>
    <t>-/-</t>
  </si>
  <si>
    <t>Журавлев</t>
  </si>
  <si>
    <t>5.2.1</t>
  </si>
  <si>
    <t>Шпилька резьбовая М10х2000мм (для крепления вентиляции)</t>
  </si>
  <si>
    <t>шт/т</t>
  </si>
  <si>
    <t>150/0,137</t>
  </si>
  <si>
    <t>Муфта соеденительная М10 (для крепления вентиляции)</t>
  </si>
  <si>
    <t>50/0,002</t>
  </si>
  <si>
    <t>5.2.2</t>
  </si>
  <si>
    <t>Гайка ГОСТ ISO 4032-2014 М10 (для крепления вентиляции)</t>
  </si>
  <si>
    <t>850/0,009</t>
  </si>
  <si>
    <t>5.2.3</t>
  </si>
  <si>
    <t>5.2.4</t>
  </si>
  <si>
    <t>Шайба 1,10 ГОСТ ISO 11371-78 (для крепления вентиляции)</t>
  </si>
  <si>
    <t>850/0,003</t>
  </si>
  <si>
    <t>124,432</t>
  </si>
  <si>
    <r>
      <t xml:space="preserve">Монтаж площадки ПМ-3. Сталь </t>
    </r>
    <r>
      <rPr>
        <strike/>
        <sz val="12"/>
        <rFont val="Times New Roman"/>
        <family val="1"/>
        <charset val="204"/>
      </rPr>
      <t>С255</t>
    </r>
    <r>
      <rPr>
        <sz val="12"/>
        <rFont val="Times New Roman"/>
        <family val="1"/>
        <charset val="204"/>
      </rPr>
      <t xml:space="preserve"> С245-4 -279,2кг, </t>
    </r>
    <r>
      <rPr>
        <strike/>
        <sz val="12"/>
        <rFont val="Times New Roman"/>
        <family val="1"/>
        <charset val="204"/>
      </rPr>
      <t>С245</t>
    </r>
    <r>
      <rPr>
        <sz val="12"/>
        <rFont val="Times New Roman"/>
        <family val="1"/>
        <charset val="204"/>
      </rPr>
      <t xml:space="preserve"> С245-4- 3189,007кг,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С245-4 - 576,576,</t>
    </r>
    <r>
      <rPr>
        <strike/>
        <sz val="12"/>
        <rFont val="Times New Roman"/>
        <family val="1"/>
        <charset val="204"/>
      </rPr>
      <t xml:space="preserve"> Ст3сп</t>
    </r>
    <r>
      <rPr>
        <sz val="12"/>
        <rFont val="Times New Roman"/>
        <family val="1"/>
        <charset val="204"/>
      </rPr>
      <t xml:space="preserve"> С245-4 - 33,8кг (Изм.4)</t>
    </r>
  </si>
  <si>
    <t>Нанесение цинкового покрытия на решетчатый настил, в заводских условиях методом горячего цинкования</t>
  </si>
  <si>
    <t>8.4</t>
  </si>
  <si>
    <t>9.4</t>
  </si>
  <si>
    <t>шт.</t>
  </si>
  <si>
    <t>шт./т</t>
  </si>
  <si>
    <t>10.1</t>
  </si>
  <si>
    <t>Сверление отверстий в бетоне, диаметром 16 глубиной 90мм</t>
  </si>
  <si>
    <t>Установка болтов БСР 12х110 УЗ</t>
  </si>
  <si>
    <t>10.2</t>
  </si>
  <si>
    <t>10.3</t>
  </si>
  <si>
    <t>10.4</t>
  </si>
  <si>
    <t>10.5</t>
  </si>
  <si>
    <t>12/0,080</t>
  </si>
  <si>
    <t>12/0,006</t>
  </si>
  <si>
    <t>5.4.1</t>
  </si>
  <si>
    <t>5.4.2</t>
  </si>
  <si>
    <t>5.4.3</t>
  </si>
  <si>
    <t>5.4.4</t>
  </si>
  <si>
    <t>5.4.5</t>
  </si>
  <si>
    <t>Болт М10х50 ГОСТ 5915-70 (для крепления электрики)</t>
  </si>
  <si>
    <t>Шайба 1,10 ГОСТ ISO 11371-78 (для крепления электрики)</t>
  </si>
  <si>
    <t>Гайка ГОСТ ISO 4032-2014 М10 (ддля крепления электрики)</t>
  </si>
  <si>
    <t>Муфта соеденительная М10 (для крепления электрики)</t>
  </si>
  <si>
    <t>Шпилька резьбовая М10х2000мм (для крепления электрики)</t>
  </si>
  <si>
    <t>43/0,039</t>
  </si>
  <si>
    <t>14/0,0006</t>
  </si>
  <si>
    <t>172/0,002</t>
  </si>
  <si>
    <t>172/0,0006</t>
  </si>
  <si>
    <t>54/0,002</t>
  </si>
  <si>
    <t>5.2.5</t>
  </si>
  <si>
    <t>115/0,005</t>
  </si>
  <si>
    <t>Болт М10х50 ГОСТ 5915-70 (для крепления вентиляции)</t>
  </si>
  <si>
    <t>V образный крепеж полной заводской готовности М10(для крепления вентиляции)</t>
  </si>
  <si>
    <t>5.2.6</t>
  </si>
  <si>
    <t>115/0,012</t>
  </si>
  <si>
    <t xml:space="preserve">Изм. </t>
  </si>
  <si>
    <t>Изм.6</t>
  </si>
  <si>
    <r>
      <rPr>
        <strike/>
        <sz val="12"/>
        <rFont val="Times New Roman"/>
        <family val="1"/>
        <charset val="204"/>
      </rPr>
      <t>Монтаж сетчатого ограждения на окна  Уголок 63х5  -  357,39 м.п. 1719,05 кг (сталь С245) - 2241,46кг (сталь С235) С245-4. Лист 4х50 1023,90 м.п  - 1607,52 кг (сталь С245) С245-4 - 1070,74 (сталь С235) С245-4, сетка 2-14-1-Л   1-5-1,6-НУ-Л 891,324кг 507,72м2 - 1660кг (Изм.4</t>
    </r>
    <r>
      <rPr>
        <sz val="12"/>
        <rFont val="Times New Roman"/>
        <family val="1"/>
        <charset val="204"/>
      </rPr>
      <t xml:space="preserve">) </t>
    </r>
    <r>
      <rPr>
        <sz val="12"/>
        <color indexed="10"/>
        <rFont val="Times New Roman"/>
        <family val="1"/>
        <charset val="204"/>
      </rPr>
      <t>Монтаж сетчатого ограждения на окна  Уголок 63х5  - 2279,94 кг (сталь С245-4). Лист 4х50  - 806,98кг  (С245-4),</t>
    </r>
    <r>
      <rPr>
        <strike/>
        <sz val="12"/>
        <color indexed="10"/>
        <rFont val="Times New Roman"/>
        <family val="1"/>
        <charset val="204"/>
      </rPr>
      <t xml:space="preserve"> сетка 2-14-1-Л   - 296,66кг</t>
    </r>
    <r>
      <rPr>
        <sz val="12"/>
        <color indexed="10"/>
        <rFont val="Times New Roman"/>
        <family val="1"/>
        <charset val="204"/>
      </rPr>
      <t xml:space="preserve"> (Изм.5).  Сетка 2-5-1,2-Л   - 618,3кг (Изм.6) </t>
    </r>
  </si>
  <si>
    <t>20/-0,002</t>
  </si>
  <si>
    <t>32/0,006</t>
  </si>
  <si>
    <t>-4/-0,017</t>
  </si>
  <si>
    <t>8/0,063</t>
  </si>
  <si>
    <r>
      <t>Монтаж стоек</t>
    </r>
    <r>
      <rPr>
        <strike/>
        <sz val="12"/>
        <color indexed="10"/>
        <rFont val="Times New Roman"/>
        <family val="1"/>
        <charset val="204"/>
      </rPr>
      <t xml:space="preserve"> Ст1,</t>
    </r>
    <r>
      <rPr>
        <sz val="12"/>
        <color indexed="10"/>
        <rFont val="Times New Roman"/>
        <family val="1"/>
        <charset val="204"/>
      </rPr>
      <t xml:space="preserve"> Ст2 (Изм.6)
Уголок 50х50х4 сталь С245-4 - </t>
    </r>
    <r>
      <rPr>
        <strike/>
        <sz val="12"/>
        <color indexed="10"/>
        <rFont val="Times New Roman"/>
        <family val="1"/>
        <charset val="204"/>
      </rPr>
      <t>44,8 кг</t>
    </r>
    <r>
      <rPr>
        <sz val="12"/>
        <color indexed="10"/>
        <rFont val="Times New Roman"/>
        <family val="1"/>
        <charset val="204"/>
      </rPr>
      <t xml:space="preserve"> 38,16кг (Изм.6)
Лист б=6мм, сталь С245-4 - </t>
    </r>
    <r>
      <rPr>
        <strike/>
        <sz val="12"/>
        <color indexed="10"/>
        <rFont val="Times New Roman"/>
        <family val="1"/>
        <charset val="204"/>
      </rPr>
      <t>35,3кг</t>
    </r>
    <r>
      <rPr>
        <sz val="12"/>
        <color indexed="10"/>
        <rFont val="Times New Roman"/>
        <family val="1"/>
        <charset val="204"/>
      </rPr>
      <t xml:space="preserve"> 23,55 (Изм.6)</t>
    </r>
  </si>
  <si>
    <r>
      <t xml:space="preserve">Раздел 10.Крепление системы отопления (лист </t>
    </r>
    <r>
      <rPr>
        <b/>
        <strike/>
        <sz val="12"/>
        <rFont val="Times New Roman"/>
        <family val="1"/>
        <charset val="204"/>
      </rPr>
      <t>19.1</t>
    </r>
    <r>
      <rPr>
        <b/>
        <sz val="12"/>
        <rFont val="Times New Roman"/>
        <family val="1"/>
        <charset val="204"/>
      </rPr>
      <t xml:space="preserve"> </t>
    </r>
    <r>
      <rPr>
        <b/>
        <sz val="12"/>
        <color indexed="10"/>
        <rFont val="Times New Roman"/>
        <family val="1"/>
        <charset val="204"/>
      </rPr>
      <t>24 (Изм.6)</t>
    </r>
    <r>
      <rPr>
        <b/>
        <sz val="12"/>
        <rFont val="Times New Roman"/>
        <family val="1"/>
        <charset val="204"/>
      </rPr>
      <t>. Расход дан на все.</t>
    </r>
  </si>
  <si>
    <r>
      <t>Монтаж фахверка</t>
    </r>
    <r>
      <rPr>
        <strike/>
        <sz val="12"/>
        <rFont val="Times New Roman"/>
        <family val="1"/>
        <charset val="204"/>
      </rPr>
      <t xml:space="preserve"> (сталь С255 С235)  (Изм.3) </t>
    </r>
    <r>
      <rPr>
        <sz val="12"/>
        <rFont val="Times New Roman"/>
        <family val="1"/>
        <charset val="204"/>
      </rPr>
      <t>С245-4 т. (Изм. 4)
Швеллер гнутый 200х80х6 - 10483,1 кг
Уголок 100х100х7 - 860,61кг
Уголок 63х63х5 - 6101,77кг
Лист б=10мм - 62,17кг
Лист б=8мм - 886,08кг
Лист б=6мм - 376,8кг
Тр. прямоугольная 200х200х6 - 18742,2кг  (Изм.5)</t>
    </r>
  </si>
  <si>
    <r>
      <t xml:space="preserve">Монтаж опорных конструций системы вентиляции  </t>
    </r>
    <r>
      <rPr>
        <strike/>
        <sz val="12"/>
        <rFont val="Times New Roman"/>
        <family val="1"/>
        <charset val="204"/>
      </rPr>
      <t>и
 подвесного потолка</t>
    </r>
    <r>
      <rPr>
        <sz val="12"/>
        <rFont val="Times New Roman"/>
        <family val="1"/>
        <charset val="204"/>
      </rPr>
      <t xml:space="preserve">
</t>
    </r>
    <r>
      <rPr>
        <strike/>
        <sz val="12"/>
        <rFont val="Times New Roman"/>
        <family val="1"/>
        <charset val="204"/>
      </rPr>
      <t xml:space="preserve">(уголок (сталь С245)): </t>
    </r>
    <r>
      <rPr>
        <sz val="12"/>
        <rFont val="Times New Roman"/>
        <family val="1"/>
        <charset val="204"/>
      </rPr>
      <t xml:space="preserve">Уголок 75х75х6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  - </t>
    </r>
    <r>
      <rPr>
        <strike/>
        <sz val="12"/>
        <rFont val="Times New Roman"/>
        <family val="1"/>
        <charset val="204"/>
      </rPr>
      <t>663,920кг</t>
    </r>
    <r>
      <rPr>
        <sz val="12"/>
        <rFont val="Times New Roman"/>
        <family val="1"/>
        <charset val="204"/>
      </rPr>
      <t xml:space="preserve"> 1033,5кг (Изм.5), уголок 80х80х6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С245-4 - </t>
    </r>
    <r>
      <rPr>
        <strike/>
        <sz val="12"/>
        <rFont val="Times New Roman"/>
        <family val="1"/>
        <charset val="204"/>
      </rPr>
      <t xml:space="preserve">813,28кг </t>
    </r>
    <r>
      <rPr>
        <sz val="12"/>
        <rFont val="Times New Roman"/>
        <family val="1"/>
        <charset val="204"/>
      </rPr>
      <t xml:space="preserve">515.2кг (Изм.5), лист б=8мм </t>
    </r>
    <r>
      <rPr>
        <strike/>
        <sz val="12"/>
        <rFont val="Times New Roman"/>
        <family val="1"/>
        <charset val="204"/>
      </rPr>
      <t xml:space="preserve">С235 </t>
    </r>
    <r>
      <rPr>
        <sz val="12"/>
        <rFont val="Times New Roman"/>
        <family val="1"/>
        <charset val="204"/>
      </rPr>
      <t xml:space="preserve"> С245-4 -</t>
    </r>
    <r>
      <rPr>
        <strike/>
        <sz val="12"/>
        <rFont val="Times New Roman"/>
        <family val="1"/>
        <charset val="204"/>
      </rPr>
      <t xml:space="preserve"> 149,351</t>
    </r>
    <r>
      <rPr>
        <sz val="12"/>
        <rFont val="Times New Roman"/>
        <family val="1"/>
        <charset val="204"/>
      </rPr>
      <t xml:space="preserve">кг 160.2кг </t>
    </r>
    <r>
      <rPr>
        <strike/>
        <sz val="12"/>
        <rFont val="Times New Roman"/>
        <family val="1"/>
        <charset val="204"/>
      </rPr>
      <t>(Изм.3)</t>
    </r>
    <r>
      <rPr>
        <sz val="12"/>
        <rFont val="Times New Roman"/>
        <family val="1"/>
        <charset val="204"/>
      </rPr>
      <t xml:space="preserve"> (Изм.4)(Изм.5)</t>
    </r>
  </si>
  <si>
    <r>
      <t>Монтаж опорных конструций системы пожаротушения</t>
    </r>
    <r>
      <rPr>
        <strike/>
        <sz val="12"/>
        <rFont val="Times New Roman"/>
        <family val="1"/>
        <charset val="204"/>
      </rPr>
      <t xml:space="preserve">  (уголок, швеллер, лист б=4 мм (сталь С245))</t>
    </r>
    <r>
      <rPr>
        <sz val="12"/>
        <rFont val="Times New Roman"/>
        <family val="1"/>
        <charset val="204"/>
      </rPr>
      <t>:</t>
    </r>
    <r>
      <rPr>
        <strike/>
        <sz val="12"/>
        <rFont val="Times New Roman"/>
        <family val="1"/>
        <charset val="204"/>
      </rPr>
      <t>Уголок 80х80х6 С235 С245-4 - 17,264кг, швеллер 16У сталь  С235 С245-4 - 318,08кг,швеллер 12У сталь  С235 С245-4 - 232,96кг, лист б=8мм С235 С245-4- 56,269кг, лист б=6мм С235 С245-4- 94,954кг (Изм.3) (Изм.4</t>
    </r>
    <r>
      <rPr>
        <sz val="12"/>
        <rFont val="Times New Roman"/>
        <family val="1"/>
        <charset val="204"/>
      </rPr>
      <t>)Уголок 50х50х5 С245-4 -22,62кг, Уголок 75х75х5 С245-4 -119,34кг, Лист б=8мм С245-4 -70,72кг,  Лист б=6мм С245-4 - 2,64кг, Тр. кв 60х60х4 С245-4 -9,5кг, Швеллер гнутый 80х200х6 -С245-4 -45.82кг (Изм.5)</t>
    </r>
  </si>
  <si>
    <r>
      <t>Монтаж опорных конструций электрического оборудования и автоматики</t>
    </r>
    <r>
      <rPr>
        <strike/>
        <sz val="12"/>
        <rFont val="Times New Roman"/>
        <family val="1"/>
        <charset val="204"/>
      </rPr>
      <t xml:space="preserve"> (уголок, швеллер, труба электросварная, лист б=4; 6; 8 мм (сталь С245))</t>
    </r>
    <r>
      <rPr>
        <sz val="12"/>
        <rFont val="Times New Roman"/>
        <family val="1"/>
        <charset val="204"/>
      </rPr>
      <t xml:space="preserve"> Тр.пр. 160х160х5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С245-4- </t>
    </r>
    <r>
      <rPr>
        <strike/>
        <sz val="12"/>
        <rFont val="Times New Roman"/>
        <family val="1"/>
        <charset val="204"/>
      </rPr>
      <t>4438,035кг</t>
    </r>
    <r>
      <rPr>
        <sz val="12"/>
        <rFont val="Times New Roman"/>
        <family val="1"/>
        <charset val="204"/>
      </rPr>
      <t xml:space="preserve"> 7922кг (Изм.5), тр. пр. 200х200х6 сталь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С245-4 - </t>
    </r>
    <r>
      <rPr>
        <strike/>
        <sz val="12"/>
        <rFont val="Times New Roman"/>
        <family val="1"/>
        <charset val="204"/>
      </rPr>
      <t>417,246кг</t>
    </r>
    <r>
      <rPr>
        <sz val="12"/>
        <rFont val="Times New Roman"/>
        <family val="1"/>
        <charset val="204"/>
      </rPr>
      <t xml:space="preserve"> 384,77кг (Изм.5),  тр. пр. 80х80х5 сталь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С245-4 - </t>
    </r>
    <r>
      <rPr>
        <strike/>
        <sz val="12"/>
        <rFont val="Times New Roman"/>
        <family val="1"/>
        <charset val="204"/>
      </rPr>
      <t>257,785кг</t>
    </r>
    <r>
      <rPr>
        <sz val="12"/>
        <rFont val="Times New Roman"/>
        <family val="1"/>
        <charset val="204"/>
      </rPr>
      <t xml:space="preserve"> 243,18кг (Изм.5) , уголок 90х90х6 сталь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С245-4 -</t>
    </r>
    <r>
      <rPr>
        <strike/>
        <sz val="12"/>
        <rFont val="Times New Roman"/>
        <family val="1"/>
        <charset val="204"/>
      </rPr>
      <t xml:space="preserve"> 920,465кг </t>
    </r>
    <r>
      <rPr>
        <sz val="12"/>
        <rFont val="Times New Roman"/>
        <family val="1"/>
        <charset val="204"/>
      </rPr>
      <t xml:space="preserve">25,66кг (Изм.5), уголок 32х32х3 сталь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С245-4 - </t>
    </r>
    <r>
      <rPr>
        <strike/>
        <sz val="12"/>
        <rFont val="Times New Roman"/>
        <family val="1"/>
        <charset val="204"/>
      </rPr>
      <t>79,190кг</t>
    </r>
    <r>
      <rPr>
        <sz val="12"/>
        <rFont val="Times New Roman"/>
        <family val="1"/>
        <charset val="204"/>
      </rPr>
      <t xml:space="preserve"> 82,00кг (Изм.5), швеллер 8У сталь </t>
    </r>
    <r>
      <rPr>
        <strike/>
        <sz val="12"/>
        <rFont val="Times New Roman"/>
        <family val="1"/>
        <charset val="204"/>
      </rPr>
      <t xml:space="preserve">С235 </t>
    </r>
    <r>
      <rPr>
        <sz val="12"/>
        <rFont val="Times New Roman"/>
        <family val="1"/>
        <charset val="204"/>
      </rPr>
      <t xml:space="preserve">С245-4- 800,175кг, труба d57х3 </t>
    </r>
    <r>
      <rPr>
        <strike/>
        <sz val="12"/>
        <rFont val="Times New Roman"/>
        <family val="1"/>
        <charset val="204"/>
      </rPr>
      <t>ВСт3ПС5</t>
    </r>
    <r>
      <rPr>
        <sz val="12"/>
        <rFont val="Times New Roman"/>
        <family val="1"/>
        <charset val="204"/>
      </rPr>
      <t xml:space="preserve"> С245-4-1 -16,4кг, труба d48х3 </t>
    </r>
    <r>
      <rPr>
        <strike/>
        <sz val="12"/>
        <rFont val="Times New Roman"/>
        <family val="1"/>
        <charset val="204"/>
      </rPr>
      <t>ВСт3ПС5</t>
    </r>
    <r>
      <rPr>
        <sz val="12"/>
        <rFont val="Times New Roman"/>
        <family val="1"/>
        <charset val="204"/>
      </rPr>
      <t xml:space="preserve"> С245-4-1 -4,662кг, труба d25х2,5 </t>
    </r>
    <r>
      <rPr>
        <strike/>
        <sz val="12"/>
        <rFont val="Times New Roman"/>
        <family val="1"/>
        <charset val="204"/>
      </rPr>
      <t>ВСт3ПС5</t>
    </r>
    <r>
      <rPr>
        <sz val="12"/>
        <rFont val="Times New Roman"/>
        <family val="1"/>
        <charset val="204"/>
      </rPr>
      <t xml:space="preserve">  С245-4-1-1,39кг </t>
    </r>
    <r>
      <rPr>
        <strike/>
        <sz val="12"/>
        <rFont val="Times New Roman"/>
        <family val="1"/>
        <charset val="204"/>
      </rPr>
      <t>(Изм.3)</t>
    </r>
    <r>
      <rPr>
        <sz val="12"/>
        <rFont val="Times New Roman"/>
        <family val="1"/>
        <charset val="204"/>
      </rPr>
      <t xml:space="preserve"> (Изм.4), швеллер 16У С245-4 - 440кг, Уголок 50х50х5 С245-4 65.0кг, Уголок 75х75х5 С245-4 - 130,0кг, Лист б=8 С245-4 - 242.00кг, Лист б=4 С245-4 - 166,00кг. , Лист б=2 С245-4 2,9кг. (Изм.5)</t>
    </r>
  </si>
  <si>
    <t>письмо ООО «Транснефть-ТСД» № ТСД-05-22-01-04/31092 от 17.10.2022</t>
  </si>
  <si>
    <t>10,222/
0,066</t>
  </si>
  <si>
    <t>8,548/
0,071</t>
  </si>
  <si>
    <r>
      <t xml:space="preserve">Монтаж решетчатого оцинкованного настила  сталь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 лист б=3мм (Изм.4) </t>
    </r>
    <r>
      <rPr>
        <b/>
        <sz val="12"/>
        <rFont val="Times New Roman"/>
        <family val="1"/>
        <charset val="204"/>
      </rPr>
      <t>полного заводского изготовления (Изм.5)</t>
    </r>
  </si>
  <si>
    <r>
      <t xml:space="preserve">Монтаж решетчатого оцинкованного настила, сталь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 лист б=3мм (Изм.4) </t>
    </r>
    <r>
      <rPr>
        <b/>
        <sz val="12"/>
        <rFont val="Times New Roman"/>
        <family val="1"/>
        <charset val="204"/>
      </rPr>
      <t>полного заводского изготовления (Изм.5)</t>
    </r>
  </si>
  <si>
    <t>Г.3.0000.20074-ТДР/ТСД/ГТП-00.003.3-КМ.ВР.1</t>
  </si>
  <si>
    <t>Кокшаров</t>
  </si>
  <si>
    <t>ОПОС</t>
  </si>
  <si>
    <t>Довгарь</t>
  </si>
  <si>
    <r>
      <t xml:space="preserve">Монтаж элементов крепления отопления.
Уголок 50х50х4  С245-4 -300,9кг, (поз. а, в)
Уголок 32х32х3  С245-4 -9,5кг, (поз. б)
</t>
    </r>
    <r>
      <rPr>
        <sz val="12"/>
        <color indexed="10"/>
        <rFont val="Times New Roman"/>
        <family val="1"/>
        <charset val="204"/>
      </rPr>
      <t>Швеллер гн. 200*80*6 С245-4 - 55,05кг (поз. Г) (Изм.6)</t>
    </r>
  </si>
  <si>
    <t>Раздел 7. Монтаж сетчатого ограждения на окна.</t>
  </si>
  <si>
    <t>11.1</t>
  </si>
  <si>
    <t>11.2</t>
  </si>
  <si>
    <t>11.3</t>
  </si>
  <si>
    <t>11.4</t>
  </si>
  <si>
    <r>
      <t xml:space="preserve">Монтаж решетчатого оцинкованного настила, сталь </t>
    </r>
    <r>
      <rPr>
        <sz val="12"/>
        <rFont val="Times New Roman"/>
        <family val="1"/>
        <charset val="204"/>
      </rPr>
      <t xml:space="preserve"> С245-4 лист б=3мм </t>
    </r>
    <r>
      <rPr>
        <b/>
        <sz val="12"/>
        <rFont val="Times New Roman"/>
        <family val="1"/>
        <charset val="204"/>
      </rPr>
      <t xml:space="preserve">полного заводского изготовления </t>
    </r>
  </si>
  <si>
    <r>
      <rPr>
        <sz val="12"/>
        <rFont val="Times New Roman"/>
        <family val="1"/>
        <charset val="204"/>
      </rPr>
      <t xml:space="preserve">Монтаж несущих элементов площадок, ходовых мостиков, вертикальных лестниц. </t>
    </r>
    <r>
      <rPr>
        <strike/>
        <sz val="12"/>
        <rFont val="Times New Roman"/>
        <family val="1"/>
        <charset val="204"/>
      </rPr>
      <t>Сталь С245 С245-4 -5920,928кг, С235 С245-4- 107,604кг, Ст3ПС5 С245-4 - 654,364, ВСт3ПС6 С245-4 - 56,635кг (Изм.4)</t>
    </r>
    <r>
      <rPr>
        <sz val="12"/>
        <color indexed="12"/>
        <rFont val="Times New Roman"/>
        <family val="1"/>
        <charset val="204"/>
      </rPr>
      <t xml:space="preserve"> </t>
    </r>
  </si>
  <si>
    <t>.</t>
  </si>
  <si>
    <r>
      <rPr>
        <strike/>
        <sz val="12"/>
        <rFont val="Times New Roman"/>
        <family val="1"/>
        <charset val="204"/>
      </rPr>
      <t>7.2</t>
    </r>
    <r>
      <rPr>
        <sz val="12"/>
        <rFont val="Times New Roman"/>
        <family val="1"/>
        <charset val="204"/>
      </rPr>
      <t xml:space="preserve">
5.6 (Изм.6)</t>
    </r>
  </si>
  <si>
    <t>Раздел 11.Ходовые мостики по покрытию, вертикальные лестницы, площадки обслуживания, узлы прохода через кровлю, ограждение кровли. Расход дан на все.</t>
  </si>
  <si>
    <t>Монтаж несущих элементов площадок, ходовых мостиков, вертикальных лестниц.Ограждений кровли. 
-Двутавр 20Ш1, сталь С245-4 -3,015т
-Швеллер  20У, сталь С245-4 -0,205т
-Швеллер 16У, сталь С245-4 -1,284т
-Швеллер 12У, сталь С245-4 -1,236т
-Лист б=8мм, сталь С245-4 - 0,053т
-Лист б=6мм, сталь С245-4 -0,009т
-Лист б=4мм, сталь С245-4 -0,507т
-Лист б=2мм, сталь С245-4 -0,002т
-Уголок 100х100х8, сталь С245-4 -0,016т
-Уголок 90х90х6, сталь С245-4 -0,017т
-Уголок 75х75х6, сталь С245-4 -0,944т
-Уголок 75х75х5, сталь С245-4 -0,132т
-Уголок 50х50х5, сталь С245-4 -0,426т
-Уголок 25х25х3, сталь С245-4 -0,121т
-Круг d18, сталь С245-4 -0,177т
-Круг d12, сталь С245-4 -0,576т
-Труба квадратная 60х60х4, сталь С245-4 -0,062т
-Полоса 4х40, сталь С245-4 -0,216т</t>
  </si>
  <si>
    <t>176/35,2</t>
  </si>
  <si>
    <t>шт./м</t>
  </si>
  <si>
    <t>12.1</t>
  </si>
  <si>
    <t>12.2</t>
  </si>
  <si>
    <t>Раздел 12 . Корректировка ригеля Р8</t>
  </si>
  <si>
    <t>12.3</t>
  </si>
  <si>
    <t>письмо ООО  «Транснефть-ТСД» от 09.02.2023 № ТСД-04-03-16/3370</t>
  </si>
  <si>
    <t>123,358</t>
  </si>
  <si>
    <t>Прорезка отверстий в трехслойных панелях типа сэндвич (под комуникации) (Изм.7)</t>
  </si>
  <si>
    <r>
      <rPr>
        <sz val="11"/>
        <rFont val="Times New Roman"/>
        <family val="1"/>
        <charset val="204"/>
      </rPr>
      <t xml:space="preserve">Монтаж каркасов одноэтажных производственных зданий одно- и многопролетных без фонарей размером в плане 54 м на 12 м, высотой до 12 м, без крана в том числе:                                                                                                        - колонн одноэтажных зданий и крановых эстакад высотой до 15 м цельного сечения массой до 3,0 т </t>
    </r>
    <r>
      <rPr>
        <strike/>
        <sz val="11"/>
        <rFont val="Times New Roman"/>
        <family val="1"/>
        <charset val="204"/>
      </rPr>
      <t>(сталь С245 -19,6 т, С255-3,3 т) -  22,9 т</t>
    </r>
    <r>
      <rPr>
        <sz val="11"/>
        <rFont val="Times New Roman"/>
        <family val="1"/>
        <charset val="204"/>
      </rPr>
      <t xml:space="preserve">  С245-4 -</t>
    </r>
    <r>
      <rPr>
        <strike/>
        <sz val="11"/>
        <rFont val="Times New Roman"/>
        <family val="1"/>
        <charset val="204"/>
      </rPr>
      <t xml:space="preserve"> 23,596 т (Изм. 4)</t>
    </r>
    <r>
      <rPr>
        <sz val="11"/>
        <rFont val="Times New Roman"/>
        <family val="1"/>
        <charset val="204"/>
      </rPr>
      <t xml:space="preserve">  23,884т (Изм. 5)
-  Связи вертикальные по колоннам Св1, Св2, Св3, Св5, Св6
</t>
    </r>
    <r>
      <rPr>
        <strike/>
        <sz val="11"/>
        <rFont val="Times New Roman"/>
        <family val="1"/>
        <charset val="204"/>
      </rPr>
      <t>С245</t>
    </r>
    <r>
      <rPr>
        <sz val="11"/>
        <rFont val="Times New Roman"/>
        <family val="1"/>
        <charset val="204"/>
      </rPr>
      <t xml:space="preserve">  С245-4 -</t>
    </r>
    <r>
      <rPr>
        <strike/>
        <sz val="11"/>
        <rFont val="Times New Roman"/>
        <family val="1"/>
        <charset val="204"/>
      </rPr>
      <t xml:space="preserve"> 7,7 т.</t>
    </r>
    <r>
      <rPr>
        <sz val="11"/>
        <rFont val="Times New Roman"/>
        <family val="1"/>
        <charset val="204"/>
      </rPr>
      <t xml:space="preserve"> (Изм. 4)  17,928 т (Изм. 5)
- Подкрановые балки для опорных и подвесных кранов, балка Б2  - </t>
    </r>
    <r>
      <rPr>
        <strike/>
        <sz val="11"/>
        <rFont val="Times New Roman"/>
        <family val="1"/>
        <charset val="204"/>
      </rPr>
      <t xml:space="preserve">С245 - 18,0 т. </t>
    </r>
    <r>
      <rPr>
        <sz val="11"/>
        <rFont val="Times New Roman"/>
        <family val="1"/>
        <charset val="204"/>
      </rPr>
      <t xml:space="preserve">С245-4  17,475 т (Изм. 4)
- Фермы Ф1, балки покрытия Б1 - </t>
    </r>
    <r>
      <rPr>
        <strike/>
        <sz val="11"/>
        <rFont val="Times New Roman"/>
        <family val="1"/>
        <charset val="204"/>
      </rPr>
      <t>С255 -11,2 т</t>
    </r>
    <r>
      <rPr>
        <sz val="11"/>
        <rFont val="Times New Roman"/>
        <family val="1"/>
        <charset val="204"/>
      </rPr>
      <t xml:space="preserve">. С245-4 -11,215 т. (Изм. 4)
- Прогоны П1, П2 </t>
    </r>
    <r>
      <rPr>
        <strike/>
        <sz val="11"/>
        <rFont val="Times New Roman"/>
        <family val="1"/>
        <charset val="204"/>
      </rPr>
      <t>С245 - 1,5 т, С255 - 23,5 т</t>
    </r>
    <r>
      <rPr>
        <sz val="11"/>
        <rFont val="Times New Roman"/>
        <family val="1"/>
        <charset val="204"/>
      </rPr>
      <t xml:space="preserve">. С245-4 - 25,348 т. (Изм. 4)
- Связи по покрытию СГ1, распорки а, тяжи Т1, распорки Р1…Р8 </t>
    </r>
    <r>
      <rPr>
        <strike/>
        <sz val="11"/>
        <rFont val="Times New Roman"/>
        <family val="1"/>
        <charset val="204"/>
      </rPr>
      <t>С255 -24,42 т, Ст3Сп5 - 0,58 т</t>
    </r>
    <r>
      <rPr>
        <sz val="11"/>
        <rFont val="Times New Roman"/>
        <family val="1"/>
        <charset val="204"/>
      </rPr>
      <t xml:space="preserve">. С245-4 </t>
    </r>
    <r>
      <rPr>
        <strike/>
        <sz val="11"/>
        <rFont val="Times New Roman"/>
        <family val="1"/>
        <charset val="204"/>
      </rPr>
      <t xml:space="preserve">-24,618 т. </t>
    </r>
    <r>
      <rPr>
        <sz val="11"/>
        <rFont val="Times New Roman"/>
        <family val="1"/>
        <charset val="204"/>
      </rPr>
      <t xml:space="preserve">  (Изм. 4) </t>
    </r>
    <r>
      <rPr>
        <strike/>
        <sz val="11"/>
        <rFont val="Times New Roman"/>
        <family val="1"/>
        <charset val="204"/>
      </rPr>
      <t>28,582 т.</t>
    </r>
    <r>
      <rPr>
        <sz val="11"/>
        <rFont val="Times New Roman"/>
        <family val="1"/>
        <charset val="204"/>
      </rPr>
      <t xml:space="preserve"> (Изм.5) </t>
    </r>
    <r>
      <rPr>
        <sz val="11"/>
        <color indexed="10"/>
        <rFont val="Times New Roman"/>
        <family val="1"/>
        <charset val="204"/>
      </rPr>
      <t>27,508т (Изм.7)</t>
    </r>
    <r>
      <rPr>
        <sz val="11"/>
        <rFont val="Times New Roman"/>
        <family val="1"/>
        <charset val="204"/>
      </rPr>
      <t xml:space="preserve">
</t>
    </r>
    <r>
      <rPr>
        <strike/>
        <sz val="11"/>
        <rFont val="Times New Roman"/>
        <family val="1"/>
        <charset val="204"/>
      </rPr>
      <t>- Усиление металлоконструкций по расчету на прогрессирующее разрушение (Св3, СГ1) - 18,0 т   (Изм.3)</t>
    </r>
    <r>
      <rPr>
        <sz val="11"/>
        <rFont val="Times New Roman"/>
        <family val="1"/>
        <charset val="204"/>
      </rPr>
      <t xml:space="preserve">  (Изм.4) </t>
    </r>
    <r>
      <rPr>
        <sz val="12"/>
        <rFont val="Times New Roman"/>
        <family val="1"/>
        <charset val="204"/>
      </rPr>
      <t xml:space="preserve">                                                                               </t>
    </r>
  </si>
  <si>
    <t>Изм.7</t>
  </si>
  <si>
    <t>Демонтаж соединительных планок ригеля Р8, лист t=10мм, б=200мм, С245-4 ручным электроинструментом. Количество резов 176 шт. длина одного реза 200мм.</t>
  </si>
  <si>
    <t>Монтаж соединительных планок ригеля Р8, лист t=10мм, б=200мм, С245-4 ручной электродуговой сваркой. Количество элементов 176 шт.</t>
  </si>
  <si>
    <r>
      <rPr>
        <strike/>
        <sz val="12"/>
        <color indexed="10"/>
        <rFont val="Times New Roman"/>
        <family val="1"/>
        <charset val="204"/>
      </rPr>
      <t xml:space="preserve">
Огнезащита колонн, связей и распорок по колоннам и балок окрасочными составами R45 (Изм.4) (связи вертикальные от прогресирующего обрушения не ограшиваются) (Изм.5) </t>
    </r>
    <r>
      <rPr>
        <sz val="12"/>
        <color indexed="10"/>
        <rFont val="Times New Roman"/>
        <family val="1"/>
        <charset val="204"/>
      </rPr>
      <t>Огнезащита колонн, вертикальных связей по колоннам в осях 3-4, 6-7, распорок по колоннам, узлы крепления ферм и стеновых ригелей к колоннам - окрасочными огнезащитными составами до R45 (связи вертикальные по колоннам в осях 1-3, 4-6 от прогрессирующего обрушения не окрашиваются) на высоте с применением предохранительных поясов(Изм.8)</t>
    </r>
  </si>
  <si>
    <r>
      <t xml:space="preserve">Балки, колонны, элементы фахверка по осям 2,10. В осях 1-2 окрасочными составами R45 (Изм.4)
</t>
    </r>
    <r>
      <rPr>
        <sz val="12"/>
        <color indexed="10"/>
        <rFont val="Times New Roman"/>
        <family val="1"/>
        <charset val="204"/>
      </rPr>
      <t>Огнезащита внутренних колонн по оси Б/6,7, элементов стенового фахверка противопожарных стен по осям 6, 7 - окрасочными огнезащитными составами до R45 на высоте с применением предохранительных поясов (Изм.8)</t>
    </r>
  </si>
  <si>
    <r>
      <t xml:space="preserve">Огнезащита окрасочными составами прогонов, ферм R15
</t>
    </r>
    <r>
      <rPr>
        <sz val="12"/>
        <color indexed="10"/>
        <rFont val="Times New Roman"/>
        <family val="1"/>
        <charset val="204"/>
      </rPr>
      <t xml:space="preserve">Огнезащита балок покрытия, ферм, прогонов, связей по покрытию - окрасочными огнезащитными составами до R15 на высоте с применением предохранительных поясов (Изм.8)
</t>
    </r>
  </si>
  <si>
    <t>письмо ООО  «Транснефть-ТСД» от 15.07.2023 № ТСД-04-01-55/19547</t>
  </si>
  <si>
    <t>0</t>
  </si>
  <si>
    <t>-8/0,063</t>
  </si>
  <si>
    <t>1.1.1</t>
  </si>
  <si>
    <t xml:space="preserve">Монтаж каркасов одноэтажных производственных зданий одно- и многопролетных без фонарей размером в плане 54 м на 12 м, высотой до 12 м, без крана в том числе:                                                                                                        - колонн одноэтажных зданий и крановых эстакад высотой до 15 м цельного сечения массой до 3,0 т  С245-4 -  26,499т 
-  Связи вертикальные по колоннам Св1, Св2, Св3, Св5, Св6  С245-4 -   12,971 т 
- Подкрановые балки для опорных и подвесных кранов, монорельс, крановый рельс -  С245-4  14,863 т
- Фермы Ф1 С245-4 -6,128 т, балки Б1, Б2,  - С245-4 -6,504 т., балки БК1-1-БК1-13 -0,737
- Прогоны П1, П2 С245-4 - 25,012 т. 
- Связи по покрытию СГ1, распорки а, тяжи Т1, распорки Р1…Р8, монтажный элемент МЭ-1, упор У1-1, У2-1 С245-4 -27,194 т.                                                                                                               -  Ригель Р1 С245-4 -  0,475 т.   </t>
  </si>
  <si>
    <t>120,383</t>
  </si>
  <si>
    <t>1.2.1</t>
  </si>
  <si>
    <t xml:space="preserve">Монтаж фахверка :
Стойка фахверка-7,017 т.                                                                                              Ригель фахверка -32,378 т.                                                                                                                Монтажный швеллер -  0,1139т                                                                                          Столик С-1 -С-22   -   0,9502     </t>
  </si>
  <si>
    <t xml:space="preserve">Монтаж опорных конструций системы вентиляции : Уголок 75х75х6 С245-4  - 960,4кг , уголок 80х80х6 С245-4 - 709,4кг, лист б=8мм   С245-4 -  489,6кг </t>
  </si>
  <si>
    <t>Монтаж опорных конструций системы пожаротушения Уголок 50х50х5 С245-4 -21,6кг, Уголок 75х75х5 С245-4 -121кг, Лист б=8мм С245-4 -65,1кг,  Лист б=6мм С245-4 - 2,6кг, Тр. кв 60х60х4 С245-4 -8,2кг.</t>
  </si>
  <si>
    <t xml:space="preserve">Монтаж опорных конструций электрического оборудования и автоматики  Тр.пр. 160х160х5  С245-4-  7687,6кг, тр. пр. 200х200х6 сталь  С245-4 -  394,8кг ,  тр. пр. 80х80х5 сталь  С245-4 - 260,6кг  , уголок 90х90х6 сталь  С245-4 -  48кг , уголок 32х32х3 сталь С245-4 -  44,6кг, швеллер 8У сталь С245-4- 771,7кг, труба d57х3 С245-4-1 -8,6кг, труба d40х3 С245-4-1 -3,5кг, труба d25х2,5  С245-4-1-1кг, швеллер 16У С245-4 - 830,8кг, Уголок 50х50х5 С245-4 -33,4кг, Уголок 75х75х5 С245-4 - 102,6кг, Лист б=8 С245-4 - 79,2кг, Лист б=4 С245-4 - 145,6кг. , Лист б=2 С245-4 2,8кг. </t>
  </si>
  <si>
    <t>5.2 (Изм. 9)</t>
  </si>
  <si>
    <t>5.3 (Изм.9)</t>
  </si>
  <si>
    <t>5.4 (Изм.9)</t>
  </si>
  <si>
    <t>10.2 (Изм.9)</t>
  </si>
  <si>
    <t xml:space="preserve">Монтаж стоек Ст2 
Уголок 50х50х4 сталь С245-4 - 43,2кг
Лист б=6мм, сталь С245-4 - 26,1 </t>
  </si>
  <si>
    <t>9/0,0693</t>
  </si>
  <si>
    <t>4/-0,001</t>
  </si>
  <si>
    <t>36/0,005</t>
  </si>
  <si>
    <t xml:space="preserve">Монтаж несущих элементов площадок, ходовых мостиков, вертикальных лестниц.Ограждений кровли. </t>
  </si>
  <si>
    <t>11.5</t>
  </si>
  <si>
    <t>11.6</t>
  </si>
  <si>
    <t>11.7</t>
  </si>
  <si>
    <t>11.8</t>
  </si>
  <si>
    <t>Монтаж ступеней из решетчатого настила заводского изготовления</t>
  </si>
  <si>
    <t xml:space="preserve">Монтаж монтажных пластин МП1-МП21 сталь С245-4 -1,564 т.                                     Монтажных уголков МУ-1 - МУ-19 сталь С 245-4 - 0,594 т.         </t>
  </si>
  <si>
    <r>
      <t>м</t>
    </r>
    <r>
      <rPr>
        <vertAlign val="superscript"/>
        <sz val="12"/>
        <rFont val="Times New Roman"/>
        <family val="1"/>
        <charset val="204"/>
      </rPr>
      <t>2</t>
    </r>
  </si>
  <si>
    <t xml:space="preserve"> C D E F H J L N</t>
  </si>
  <si>
    <t xml:space="preserve"> L</t>
  </si>
  <si>
    <t xml:space="preserve"> C D E M</t>
  </si>
  <si>
    <r>
      <t>м</t>
    </r>
    <r>
      <rPr>
        <vertAlign val="super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</t>
    </r>
  </si>
  <si>
    <t>Изм. 9</t>
  </si>
  <si>
    <t>19.07.23</t>
  </si>
  <si>
    <t>7352-23</t>
  </si>
  <si>
    <t xml:space="preserve">МНПП «Уфа-Западное направление». Строительство обхода г. Пенза. 2-й этап. Строительство ЛПДС «Пенза»
</t>
  </si>
  <si>
    <r>
      <t>Монтаж конструкций козырьков</t>
    </r>
    <r>
      <rPr>
        <strike/>
        <sz val="12"/>
        <rFont val="Times New Roman"/>
        <family val="1"/>
        <charset val="204"/>
      </rPr>
      <t xml:space="preserve"> (сталь С245, Ст3пс5)</t>
    </r>
    <r>
      <rPr>
        <sz val="12"/>
        <rFont val="Times New Roman"/>
        <family val="1"/>
        <charset val="204"/>
      </rPr>
      <t xml:space="preserve">
</t>
    </r>
    <r>
      <rPr>
        <strike/>
        <sz val="12"/>
        <rFont val="Times New Roman"/>
        <family val="1"/>
        <charset val="204"/>
      </rPr>
      <t>Швеллер 10У сталь С235 - 115,965кг, уголок 50х50х5 сталь С235 - 269,325кг (Изм.3)</t>
    </r>
    <r>
      <rPr>
        <sz val="12"/>
        <rFont val="Times New Roman"/>
        <family val="1"/>
        <charset val="204"/>
      </rPr>
      <t xml:space="preserve"> С245-1 </t>
    </r>
    <r>
      <rPr>
        <strike/>
        <sz val="12"/>
        <rFont val="Times New Roman"/>
        <family val="1"/>
        <charset val="204"/>
      </rPr>
      <t>0,792 т</t>
    </r>
    <r>
      <rPr>
        <sz val="12"/>
        <rFont val="Times New Roman"/>
        <family val="1"/>
        <charset val="204"/>
      </rPr>
      <t>. (Изм.4) -0,431 т. (изм.9)</t>
    </r>
  </si>
  <si>
    <t>Примечание:</t>
  </si>
  <si>
    <t xml:space="preserve">Масса металлоконструкций принята на основании </t>
  </si>
  <si>
    <t>разработанного комплекта КМД, без учета 1% на сварку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</si>
</sst>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3" formatCode="_-* #,##0.00_р_._-;\-* #,##0.00_р_._-;_-* &quot;-&quot;??_р_._-;_-@_-"/>
    <numFmt numFmtId="178" formatCode="0.0"/>
    <numFmt numFmtId="182" formatCode="0.000"/>
    <numFmt numFmtId="183" formatCode="0.0000"/>
    <numFmt numFmtId="200" formatCode="0.0###"/>
  </numFmts>
  <fonts count="54">
    <font>
      <sz val="10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12"/>
      <name val="Arial"/>
      <family val="2"/>
      <charset val="204"/>
    </font>
    <font>
      <sz val="8"/>
      <name val="Arial Narrow"/>
      <family val="2"/>
      <charset val="204"/>
    </font>
    <font>
      <sz val="7"/>
      <name val="Arial Cyr"/>
      <charset val="204"/>
    </font>
    <font>
      <sz val="10"/>
      <color indexed="53"/>
      <name val="Arial Cyr"/>
      <charset val="204"/>
    </font>
    <font>
      <sz val="8"/>
      <color indexed="53"/>
      <name val="Arial Cyr"/>
      <charset val="204"/>
    </font>
    <font>
      <sz val="10"/>
      <name val="Courier New Cyr"/>
      <charset val="204"/>
    </font>
    <font>
      <sz val="10"/>
      <color indexed="10"/>
      <name val="Arial Cyr"/>
      <charset val="204"/>
    </font>
    <font>
      <sz val="8"/>
      <name val="Times New Roman Cyr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Helv"/>
      <charset val="204"/>
    </font>
    <font>
      <sz val="8"/>
      <color indexed="10"/>
      <name val="Arial Cyr"/>
      <charset val="204"/>
    </font>
    <font>
      <sz val="12"/>
      <name val="Arial Cyr"/>
      <charset val="204"/>
    </font>
    <font>
      <sz val="40"/>
      <name val="C39HrP24DhTt"/>
    </font>
    <font>
      <sz val="10"/>
      <name val="Arial Cyr"/>
      <charset val="204"/>
    </font>
    <font>
      <sz val="6"/>
      <name val="Times New Roman"/>
      <family val="1"/>
      <charset val="204"/>
    </font>
    <font>
      <b/>
      <sz val="11"/>
      <name val="Times New Roman"/>
      <family val="1"/>
      <charset val="204"/>
    </font>
    <font>
      <sz val="1"/>
      <name val="Arial Cyr"/>
      <charset val="204"/>
    </font>
    <font>
      <sz val="6"/>
      <name val="Arial Cyr"/>
      <charset val="204"/>
    </font>
    <font>
      <sz val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Calibri"/>
      <family val="2"/>
      <charset val="204"/>
    </font>
    <font>
      <sz val="12"/>
      <color indexed="36"/>
      <name val="Times New Roman"/>
      <family val="1"/>
      <charset val="204"/>
    </font>
    <font>
      <strike/>
      <sz val="12"/>
      <name val="Times New Roman"/>
      <family val="1"/>
      <charset val="204"/>
    </font>
    <font>
      <strike/>
      <sz val="12"/>
      <color indexed="10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trike/>
      <sz val="12"/>
      <name val="Times New Roman"/>
      <family val="1"/>
      <charset val="204"/>
    </font>
    <font>
      <strike/>
      <sz val="12"/>
      <color indexed="10"/>
      <name val="Times New Roman"/>
      <family val="1"/>
      <charset val="204"/>
    </font>
    <font>
      <strike/>
      <sz val="11"/>
      <name val="Times New Roman"/>
      <family val="1"/>
      <charset val="204"/>
    </font>
    <font>
      <sz val="12"/>
      <color indexed="12"/>
      <name val="Times New Roman"/>
      <family val="1"/>
      <charset val="204"/>
    </font>
    <font>
      <sz val="1"/>
      <color indexed="9"/>
      <name val="Arial Cyr"/>
      <charset val="204"/>
    </font>
    <font>
      <sz val="1"/>
      <color indexed="9"/>
      <name val="Times New Roman"/>
      <family val="1"/>
      <charset val="204"/>
    </font>
    <font>
      <sz val="11"/>
      <color indexed="10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trike/>
      <sz val="12"/>
      <color indexed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rgb="FF0070C0"/>
      <name val="Arial Cyr"/>
      <charset val="204"/>
    </font>
    <font>
      <sz val="12"/>
      <color rgb="FF0000FF"/>
      <name val="Times New Roman"/>
      <family val="1"/>
      <charset val="204"/>
    </font>
    <font>
      <sz val="11"/>
      <color rgb="FF0000FF"/>
      <name val="Times New Roman"/>
      <family val="1"/>
      <charset val="204"/>
    </font>
    <font>
      <strike/>
      <sz val="12"/>
      <color rgb="FFFF0000"/>
      <name val="Times New Roman"/>
      <family val="1"/>
      <charset val="204"/>
    </font>
    <font>
      <strike/>
      <sz val="12"/>
      <color rgb="FF0000FF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</fills>
  <borders count="111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9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0" borderId="0"/>
    <xf numFmtId="0" fontId="1" fillId="0" borderId="0"/>
    <xf numFmtId="173" fontId="23" fillId="0" borderId="0" applyFont="0" applyFill="0" applyBorder="0" applyAlignment="0" applyProtection="0"/>
  </cellStyleXfs>
  <cellXfs count="617">
    <xf numFmtId="0" fontId="0" fillId="0" borderId="0" xfId="0"/>
    <xf numFmtId="0" fontId="0" fillId="0" borderId="0" xfId="0" applyBorder="1"/>
    <xf numFmtId="0" fontId="0" fillId="0" borderId="0" xfId="0" applyFill="1"/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7" fillId="0" borderId="0" xfId="0" applyFont="1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2" xfId="0" applyBorder="1"/>
    <xf numFmtId="0" fontId="0" fillId="2" borderId="0" xfId="0" applyFill="1"/>
    <xf numFmtId="49" fontId="3" fillId="0" borderId="0" xfId="0" applyNumberFormat="1" applyFont="1" applyBorder="1" applyAlignment="1">
      <alignment horizontal="left" vertical="center"/>
    </xf>
    <xf numFmtId="0" fontId="10" fillId="0" borderId="0" xfId="0" applyFont="1"/>
    <xf numFmtId="0" fontId="2" fillId="0" borderId="2" xfId="0" applyFont="1" applyBorder="1" applyAlignment="1">
      <alignment horizontal="left" vertical="center"/>
    </xf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" xfId="0" applyFont="1" applyBorder="1"/>
    <xf numFmtId="0" fontId="11" fillId="0" borderId="10" xfId="0" applyFont="1" applyBorder="1"/>
    <xf numFmtId="0" fontId="4" fillId="0" borderId="0" xfId="0" applyFont="1" applyFill="1" applyBorder="1" applyAlignment="1">
      <alignment horizontal="left" vertical="center" indent="12"/>
    </xf>
    <xf numFmtId="0" fontId="4" fillId="0" borderId="0" xfId="0" applyFont="1" applyFill="1" applyBorder="1" applyAlignment="1">
      <alignment horizontal="left" vertical="center"/>
    </xf>
    <xf numFmtId="0" fontId="1" fillId="0" borderId="0" xfId="2"/>
    <xf numFmtId="0" fontId="12" fillId="0" borderId="7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/>
    </xf>
    <xf numFmtId="0" fontId="12" fillId="0" borderId="0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top"/>
    </xf>
    <xf numFmtId="49" fontId="12" fillId="0" borderId="28" xfId="0" applyNumberFormat="1" applyFont="1" applyBorder="1" applyAlignment="1">
      <alignment horizontal="left" vertical="top"/>
    </xf>
    <xf numFmtId="1" fontId="15" fillId="0" borderId="7" xfId="0" applyNumberFormat="1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5" fillId="0" borderId="33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17" fillId="0" borderId="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0" fontId="0" fillId="0" borderId="4" xfId="0" applyBorder="1"/>
    <xf numFmtId="0" fontId="12" fillId="0" borderId="38" xfId="0" applyFont="1" applyBorder="1"/>
    <xf numFmtId="0" fontId="8" fillId="0" borderId="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49" fontId="12" fillId="0" borderId="42" xfId="0" applyNumberFormat="1" applyFont="1" applyBorder="1" applyAlignment="1">
      <alignment horizontal="center" vertical="center"/>
    </xf>
    <xf numFmtId="49" fontId="12" fillId="0" borderId="43" xfId="0" applyNumberFormat="1" applyFont="1" applyBorder="1" applyAlignment="1">
      <alignment horizontal="center" vertical="center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5" xfId="0" applyBorder="1"/>
    <xf numFmtId="0" fontId="13" fillId="0" borderId="46" xfId="0" applyFont="1" applyBorder="1" applyAlignment="1">
      <alignment horizontal="left" vertical="top" wrapText="1"/>
    </xf>
    <xf numFmtId="0" fontId="15" fillId="0" borderId="47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20" fillId="0" borderId="0" xfId="2" applyFont="1"/>
    <xf numFmtId="0" fontId="10" fillId="0" borderId="0" xfId="0" applyFont="1" applyBorder="1"/>
    <xf numFmtId="0" fontId="10" fillId="0" borderId="0" xfId="0" applyFont="1" applyFill="1" applyBorder="1"/>
    <xf numFmtId="0" fontId="10" fillId="0" borderId="0" xfId="2" applyFont="1"/>
    <xf numFmtId="49" fontId="18" fillId="0" borderId="16" xfId="0" applyNumberFormat="1" applyFont="1" applyFill="1" applyBorder="1" applyAlignment="1">
      <alignment horizontal="center"/>
    </xf>
    <xf numFmtId="49" fontId="18" fillId="0" borderId="16" xfId="0" applyNumberFormat="1" applyFont="1" applyFill="1" applyBorder="1" applyAlignment="1">
      <alignment horizontal="left" vertical="top" wrapText="1"/>
    </xf>
    <xf numFmtId="0" fontId="21" fillId="0" borderId="0" xfId="0" applyFont="1" applyFill="1" applyBorder="1" applyAlignment="1" applyProtection="1">
      <alignment vertical="center" wrapText="1"/>
      <protection locked="0"/>
    </xf>
    <xf numFmtId="49" fontId="12" fillId="0" borderId="16" xfId="0" applyNumberFormat="1" applyFont="1" applyBorder="1" applyAlignment="1">
      <alignment horizontal="center" vertical="center"/>
    </xf>
    <xf numFmtId="49" fontId="18" fillId="0" borderId="16" xfId="0" applyNumberFormat="1" applyFont="1" applyFill="1" applyBorder="1" applyAlignment="1">
      <alignment horizontal="center" wrapText="1"/>
    </xf>
    <xf numFmtId="49" fontId="18" fillId="0" borderId="16" xfId="0" applyNumberFormat="1" applyFont="1" applyFill="1" applyBorder="1" applyAlignment="1">
      <alignment vertical="top"/>
    </xf>
    <xf numFmtId="0" fontId="18" fillId="0" borderId="31" xfId="0" applyNumberFormat="1" applyFont="1" applyFill="1" applyBorder="1" applyAlignment="1" applyProtection="1">
      <alignment horizontal="center"/>
      <protection locked="0"/>
    </xf>
    <xf numFmtId="0" fontId="19" fillId="0" borderId="0" xfId="0" applyFont="1"/>
    <xf numFmtId="0" fontId="19" fillId="0" borderId="3" xfId="0" applyFont="1" applyBorder="1" applyAlignment="1">
      <alignment wrapText="1"/>
    </xf>
    <xf numFmtId="0" fontId="3" fillId="0" borderId="3" xfId="2" applyFont="1" applyFill="1" applyBorder="1" applyAlignment="1">
      <alignment horizontal="center" vertical="center" wrapText="1"/>
    </xf>
    <xf numFmtId="0" fontId="19" fillId="0" borderId="3" xfId="0" applyFont="1" applyBorder="1"/>
    <xf numFmtId="49" fontId="19" fillId="0" borderId="3" xfId="0" applyNumberFormat="1" applyFont="1" applyBorder="1"/>
    <xf numFmtId="49" fontId="19" fillId="0" borderId="0" xfId="0" applyNumberFormat="1" applyFont="1"/>
    <xf numFmtId="0" fontId="18" fillId="0" borderId="31" xfId="0" applyNumberFormat="1" applyFont="1" applyFill="1" applyBorder="1" applyAlignment="1">
      <alignment horizontal="center"/>
    </xf>
    <xf numFmtId="0" fontId="18" fillId="0" borderId="31" xfId="1" applyNumberFormat="1" applyFont="1" applyFill="1" applyBorder="1" applyAlignment="1" applyProtection="1">
      <alignment horizontal="center" vertical="center" wrapText="1"/>
    </xf>
    <xf numFmtId="0" fontId="18" fillId="0" borderId="31" xfId="0" applyNumberFormat="1" applyFont="1" applyFill="1" applyBorder="1" applyAlignment="1">
      <alignment horizontal="center" vertical="center" wrapText="1"/>
    </xf>
    <xf numFmtId="0" fontId="18" fillId="0" borderId="31" xfId="0" applyNumberFormat="1" applyFont="1" applyFill="1" applyBorder="1" applyAlignment="1">
      <alignment horizontal="center" vertical="top"/>
    </xf>
    <xf numFmtId="0" fontId="18" fillId="0" borderId="31" xfId="0" applyNumberFormat="1" applyFont="1" applyFill="1" applyBorder="1" applyAlignment="1">
      <alignment horizontal="center" wrapText="1"/>
    </xf>
    <xf numFmtId="49" fontId="24" fillId="0" borderId="5" xfId="0" applyNumberFormat="1" applyFont="1" applyBorder="1" applyAlignment="1">
      <alignment horizontal="center" vertical="center"/>
    </xf>
    <xf numFmtId="49" fontId="24" fillId="0" borderId="38" xfId="0" applyNumberFormat="1" applyFont="1" applyBorder="1" applyAlignment="1">
      <alignment horizontal="center" vertical="center"/>
    </xf>
    <xf numFmtId="49" fontId="24" fillId="0" borderId="16" xfId="0" applyNumberFormat="1" applyFont="1" applyBorder="1" applyAlignment="1">
      <alignment horizontal="center" vertical="center"/>
    </xf>
    <xf numFmtId="49" fontId="24" fillId="0" borderId="20" xfId="0" applyNumberFormat="1" applyFont="1" applyBorder="1" applyAlignment="1">
      <alignment horizontal="center" vertical="center"/>
    </xf>
    <xf numFmtId="49" fontId="24" fillId="0" borderId="48" xfId="0" applyNumberFormat="1" applyFont="1" applyBorder="1" applyAlignment="1">
      <alignment horizontal="center" vertical="center"/>
    </xf>
    <xf numFmtId="49" fontId="24" fillId="0" borderId="15" xfId="0" applyNumberFormat="1" applyFont="1" applyBorder="1" applyAlignment="1">
      <alignment horizontal="center" vertical="center"/>
    </xf>
    <xf numFmtId="182" fontId="18" fillId="0" borderId="31" xfId="0" applyNumberFormat="1" applyFont="1" applyFill="1" applyBorder="1" applyAlignment="1">
      <alignment horizontal="center" vertical="center"/>
    </xf>
    <xf numFmtId="49" fontId="18" fillId="0" borderId="38" xfId="0" applyNumberFormat="1" applyFont="1" applyFill="1" applyBorder="1" applyAlignment="1">
      <alignment horizontal="center" vertical="center"/>
    </xf>
    <xf numFmtId="182" fontId="18" fillId="0" borderId="16" xfId="0" applyNumberFormat="1" applyFont="1" applyFill="1" applyBorder="1" applyAlignment="1">
      <alignment horizontal="center" vertical="center"/>
    </xf>
    <xf numFmtId="182" fontId="18" fillId="0" borderId="32" xfId="0" applyNumberFormat="1" applyFont="1" applyFill="1" applyBorder="1" applyAlignment="1">
      <alignment horizontal="center" vertical="center"/>
    </xf>
    <xf numFmtId="182" fontId="18" fillId="0" borderId="49" xfId="0" applyNumberFormat="1" applyFont="1" applyFill="1" applyBorder="1" applyAlignment="1">
      <alignment horizontal="center" vertical="center"/>
    </xf>
    <xf numFmtId="49" fontId="18" fillId="0" borderId="31" xfId="0" applyNumberFormat="1" applyFont="1" applyFill="1" applyBorder="1" applyAlignment="1">
      <alignment horizontal="center" vertical="center"/>
    </xf>
    <xf numFmtId="49" fontId="18" fillId="0" borderId="50" xfId="0" applyNumberFormat="1" applyFont="1" applyFill="1" applyBorder="1" applyAlignment="1">
      <alignment horizontal="left" vertical="top" wrapText="1"/>
    </xf>
    <xf numFmtId="49" fontId="18" fillId="0" borderId="36" xfId="0" applyNumberFormat="1" applyFont="1" applyFill="1" applyBorder="1" applyAlignment="1">
      <alignment horizontal="center" vertical="center" wrapText="1"/>
    </xf>
    <xf numFmtId="49" fontId="18" fillId="0" borderId="16" xfId="0" applyNumberFormat="1" applyFont="1" applyFill="1" applyBorder="1" applyAlignment="1">
      <alignment horizontal="center" vertical="center"/>
    </xf>
    <xf numFmtId="49" fontId="18" fillId="0" borderId="16" xfId="0" applyNumberFormat="1" applyFont="1" applyFill="1" applyBorder="1" applyAlignment="1">
      <alignment horizontal="center" vertical="center" wrapText="1"/>
    </xf>
    <xf numFmtId="182" fontId="18" fillId="0" borderId="27" xfId="0" applyNumberFormat="1" applyFont="1" applyFill="1" applyBorder="1" applyAlignment="1">
      <alignment horizontal="center" vertical="center"/>
    </xf>
    <xf numFmtId="49" fontId="18" fillId="0" borderId="51" xfId="0" applyNumberFormat="1" applyFont="1" applyFill="1" applyBorder="1" applyAlignment="1">
      <alignment horizontal="center" vertical="center"/>
    </xf>
    <xf numFmtId="49" fontId="16" fillId="0" borderId="51" xfId="0" applyNumberFormat="1" applyFont="1" applyFill="1" applyBorder="1" applyAlignment="1">
      <alignment horizontal="left" wrapText="1"/>
    </xf>
    <xf numFmtId="49" fontId="18" fillId="0" borderId="51" xfId="0" applyNumberFormat="1" applyFont="1" applyFill="1" applyBorder="1" applyAlignment="1">
      <alignment horizontal="center"/>
    </xf>
    <xf numFmtId="49" fontId="18" fillId="0" borderId="31" xfId="0" applyNumberFormat="1" applyFont="1" applyFill="1" applyBorder="1" applyAlignment="1">
      <alignment horizontal="left" vertical="top" wrapText="1"/>
    </xf>
    <xf numFmtId="49" fontId="18" fillId="0" borderId="31" xfId="0" applyNumberFormat="1" applyFont="1" applyFill="1" applyBorder="1" applyAlignment="1">
      <alignment horizontal="center" vertical="center" wrapText="1"/>
    </xf>
    <xf numFmtId="182" fontId="18" fillId="0" borderId="31" xfId="3" applyNumberFormat="1" applyFont="1" applyFill="1" applyBorder="1" applyAlignment="1">
      <alignment horizontal="center" vertical="center"/>
    </xf>
    <xf numFmtId="49" fontId="18" fillId="0" borderId="32" xfId="0" applyNumberFormat="1" applyFont="1" applyFill="1" applyBorder="1" applyAlignment="1">
      <alignment horizontal="center" vertical="center"/>
    </xf>
    <xf numFmtId="49" fontId="18" fillId="0" borderId="52" xfId="0" applyNumberFormat="1" applyFont="1" applyFill="1" applyBorder="1" applyAlignment="1">
      <alignment horizontal="center" vertical="center"/>
    </xf>
    <xf numFmtId="49" fontId="18" fillId="0" borderId="20" xfId="0" applyNumberFormat="1" applyFont="1" applyFill="1" applyBorder="1" applyAlignment="1">
      <alignment horizontal="center" vertical="center"/>
    </xf>
    <xf numFmtId="49" fontId="18" fillId="0" borderId="20" xfId="0" applyNumberFormat="1" applyFont="1" applyFill="1" applyBorder="1" applyAlignment="1">
      <alignment horizontal="left" vertical="top" wrapText="1"/>
    </xf>
    <xf numFmtId="49" fontId="18" fillId="0" borderId="20" xfId="0" applyNumberFormat="1" applyFont="1" applyFill="1" applyBorder="1" applyAlignment="1">
      <alignment horizontal="center" vertical="center" wrapText="1"/>
    </xf>
    <xf numFmtId="49" fontId="18" fillId="0" borderId="21" xfId="0" applyNumberFormat="1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21" fillId="0" borderId="49" xfId="0" applyFont="1" applyFill="1" applyBorder="1" applyAlignment="1" applyProtection="1">
      <alignment vertical="center" wrapText="1"/>
      <protection locked="0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0" fontId="26" fillId="0" borderId="0" xfId="0" applyFont="1" applyFill="1" applyBorder="1" applyAlignment="1" applyProtection="1">
      <alignment vertical="center" wrapText="1"/>
      <protection locked="0"/>
    </xf>
    <xf numFmtId="0" fontId="27" fillId="0" borderId="0" xfId="0" applyFont="1" applyBorder="1"/>
    <xf numFmtId="0" fontId="28" fillId="0" borderId="0" xfId="0" applyFont="1" applyFill="1" applyBorder="1"/>
    <xf numFmtId="182" fontId="21" fillId="0" borderId="0" xfId="0" applyNumberFormat="1" applyFont="1" applyFill="1" applyBorder="1" applyAlignment="1" applyProtection="1">
      <alignment vertical="center" wrapText="1"/>
      <protection locked="0"/>
    </xf>
    <xf numFmtId="49" fontId="18" fillId="0" borderId="50" xfId="0" applyNumberFormat="1" applyFont="1" applyFill="1" applyBorder="1" applyAlignment="1">
      <alignment horizontal="center" vertical="center"/>
    </xf>
    <xf numFmtId="49" fontId="18" fillId="0" borderId="50" xfId="0" applyNumberFormat="1" applyFont="1" applyFill="1" applyBorder="1" applyAlignment="1">
      <alignment horizontal="center" vertical="center" wrapText="1"/>
    </xf>
    <xf numFmtId="0" fontId="18" fillId="0" borderId="38" xfId="0" applyNumberFormat="1" applyFont="1" applyFill="1" applyBorder="1" applyAlignment="1">
      <alignment horizontal="left" vertical="top" wrapText="1"/>
    </xf>
    <xf numFmtId="49" fontId="18" fillId="0" borderId="36" xfId="0" applyNumberFormat="1" applyFont="1" applyFill="1" applyBorder="1" applyAlignment="1">
      <alignment horizontal="left" vertical="top" wrapText="1"/>
    </xf>
    <xf numFmtId="49" fontId="16" fillId="0" borderId="31" xfId="0" applyNumberFormat="1" applyFont="1" applyFill="1" applyBorder="1" applyAlignment="1">
      <alignment horizontal="left" vertical="top" wrapText="1"/>
    </xf>
    <xf numFmtId="49" fontId="16" fillId="0" borderId="38" xfId="0" applyNumberFormat="1" applyFont="1" applyFill="1" applyBorder="1" applyAlignment="1">
      <alignment horizontal="left" wrapText="1"/>
    </xf>
    <xf numFmtId="49" fontId="18" fillId="0" borderId="38" xfId="0" applyNumberFormat="1" applyFont="1" applyFill="1" applyBorder="1" applyAlignment="1">
      <alignment horizontal="center"/>
    </xf>
    <xf numFmtId="0" fontId="18" fillId="0" borderId="0" xfId="0" applyFont="1" applyFill="1"/>
    <xf numFmtId="0" fontId="30" fillId="0" borderId="5" xfId="0" applyFont="1" applyFill="1" applyBorder="1" applyAlignment="1">
      <alignment horizontal="center" vertical="center" wrapText="1"/>
    </xf>
    <xf numFmtId="0" fontId="18" fillId="0" borderId="31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31" xfId="0" applyFont="1" applyFill="1" applyBorder="1" applyAlignment="1" applyProtection="1">
      <alignment horizontal="center" vertical="center"/>
      <protection locked="0"/>
    </xf>
    <xf numFmtId="0" fontId="18" fillId="0" borderId="16" xfId="0" applyFont="1" applyFill="1" applyBorder="1" applyAlignment="1" applyProtection="1">
      <alignment horizontal="center" vertical="center"/>
      <protection locked="0"/>
    </xf>
    <xf numFmtId="0" fontId="18" fillId="0" borderId="38" xfId="0" applyFont="1" applyFill="1" applyBorder="1" applyAlignment="1" applyProtection="1">
      <alignment horizontal="center" vertical="center"/>
      <protection locked="0"/>
    </xf>
    <xf numFmtId="182" fontId="18" fillId="0" borderId="20" xfId="3" applyNumberFormat="1" applyFont="1" applyFill="1" applyBorder="1" applyAlignment="1">
      <alignment horizontal="center" vertical="center"/>
    </xf>
    <xf numFmtId="0" fontId="18" fillId="0" borderId="51" xfId="0" applyFont="1" applyFill="1" applyBorder="1" applyAlignment="1" applyProtection="1">
      <alignment horizontal="center" vertical="center"/>
      <protection locked="0"/>
    </xf>
    <xf numFmtId="0" fontId="18" fillId="0" borderId="50" xfId="0" applyFont="1" applyFill="1" applyBorder="1" applyAlignment="1" applyProtection="1">
      <alignment horizontal="center" vertical="center"/>
      <protection locked="0"/>
    </xf>
    <xf numFmtId="49" fontId="18" fillId="0" borderId="51" xfId="0" applyNumberFormat="1" applyFont="1" applyFill="1" applyBorder="1" applyAlignment="1">
      <alignment horizontal="center" vertical="center" wrapText="1"/>
    </xf>
    <xf numFmtId="182" fontId="18" fillId="0" borderId="51" xfId="0" applyNumberFormat="1" applyFont="1" applyFill="1" applyBorder="1" applyAlignment="1">
      <alignment horizontal="center" vertical="center"/>
    </xf>
    <xf numFmtId="49" fontId="21" fillId="0" borderId="0" xfId="0" applyNumberFormat="1" applyFont="1" applyFill="1" applyBorder="1" applyAlignment="1" applyProtection="1">
      <alignment vertical="center" wrapText="1"/>
      <protection locked="0"/>
    </xf>
    <xf numFmtId="0" fontId="47" fillId="0" borderId="38" xfId="0" applyFont="1" applyFill="1" applyBorder="1" applyAlignment="1" applyProtection="1">
      <alignment horizontal="center" vertical="center"/>
      <protection locked="0"/>
    </xf>
    <xf numFmtId="182" fontId="18" fillId="0" borderId="50" xfId="0" applyNumberFormat="1" applyFont="1" applyFill="1" applyBorder="1" applyAlignment="1">
      <alignment horizontal="center" vertical="center"/>
    </xf>
    <xf numFmtId="182" fontId="48" fillId="0" borderId="31" xfId="0" applyNumberFormat="1" applyFont="1" applyFill="1" applyBorder="1" applyAlignment="1" applyProtection="1">
      <alignment horizontal="center" vertical="center"/>
      <protection locked="0"/>
    </xf>
    <xf numFmtId="0" fontId="18" fillId="0" borderId="36" xfId="3" applyNumberFormat="1" applyFont="1" applyFill="1" applyBorder="1" applyAlignment="1">
      <alignment horizontal="center" vertical="center"/>
    </xf>
    <xf numFmtId="49" fontId="18" fillId="0" borderId="49" xfId="0" applyNumberFormat="1" applyFont="1" applyFill="1" applyBorder="1" applyAlignment="1">
      <alignment horizontal="center" vertical="center"/>
    </xf>
    <xf numFmtId="182" fontId="47" fillId="0" borderId="50" xfId="0" applyNumberFormat="1" applyFont="1" applyFill="1" applyBorder="1" applyAlignment="1">
      <alignment horizontal="center" vertical="center"/>
    </xf>
    <xf numFmtId="2" fontId="18" fillId="0" borderId="2" xfId="0" applyNumberFormat="1" applyFont="1" applyFill="1" applyBorder="1" applyAlignment="1">
      <alignment horizontal="left" vertical="center" wrapText="1"/>
    </xf>
    <xf numFmtId="182" fontId="18" fillId="0" borderId="31" xfId="0" applyNumberFormat="1" applyFont="1" applyFill="1" applyBorder="1" applyAlignment="1">
      <alignment horizontal="center" vertical="center" wrapText="1"/>
    </xf>
    <xf numFmtId="182" fontId="47" fillId="0" borderId="31" xfId="0" applyNumberFormat="1" applyFont="1" applyFill="1" applyBorder="1" applyAlignment="1">
      <alignment horizontal="center" vertical="center" wrapText="1"/>
    </xf>
    <xf numFmtId="200" fontId="18" fillId="0" borderId="15" xfId="0" applyNumberFormat="1" applyFont="1" applyFill="1" applyBorder="1" applyAlignment="1">
      <alignment horizontal="center" vertical="center" wrapText="1"/>
    </xf>
    <xf numFmtId="2" fontId="18" fillId="0" borderId="53" xfId="0" applyNumberFormat="1" applyFont="1" applyFill="1" applyBorder="1" applyAlignment="1">
      <alignment horizontal="left" vertical="center" wrapText="1"/>
    </xf>
    <xf numFmtId="182" fontId="21" fillId="0" borderId="49" xfId="0" applyNumberFormat="1" applyFont="1" applyFill="1" applyBorder="1" applyAlignment="1" applyProtection="1">
      <alignment vertical="center" wrapText="1"/>
      <protection locked="0"/>
    </xf>
    <xf numFmtId="49" fontId="18" fillId="0" borderId="15" xfId="0" applyNumberFormat="1" applyFont="1" applyFill="1" applyBorder="1" applyAlignment="1">
      <alignment horizontal="center" vertical="center"/>
    </xf>
    <xf numFmtId="49" fontId="18" fillId="0" borderId="15" xfId="0" applyNumberFormat="1" applyFont="1" applyFill="1" applyBorder="1" applyAlignment="1"/>
    <xf numFmtId="2" fontId="18" fillId="0" borderId="15" xfId="0" applyNumberFormat="1" applyFont="1" applyFill="1" applyBorder="1" applyAlignment="1">
      <alignment horizontal="center" vertical="center" wrapText="1"/>
    </xf>
    <xf numFmtId="182" fontId="29" fillId="0" borderId="16" xfId="0" applyNumberFormat="1" applyFont="1" applyFill="1" applyBorder="1" applyAlignment="1" applyProtection="1">
      <alignment horizontal="center" vertical="center"/>
      <protection locked="0"/>
    </xf>
    <xf numFmtId="49" fontId="16" fillId="0" borderId="15" xfId="0" applyNumberFormat="1" applyFont="1" applyFill="1" applyBorder="1" applyAlignment="1">
      <alignment horizontal="left" wrapText="1"/>
    </xf>
    <xf numFmtId="182" fontId="29" fillId="0" borderId="31" xfId="0" applyNumberFormat="1" applyFont="1" applyFill="1" applyBorder="1" applyAlignment="1" applyProtection="1">
      <alignment horizontal="center" vertical="center"/>
      <protection locked="0"/>
    </xf>
    <xf numFmtId="49" fontId="18" fillId="0" borderId="36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50" xfId="0" applyNumberFormat="1" applyFont="1" applyFill="1" applyBorder="1" applyAlignment="1" applyProtection="1">
      <alignment horizontal="center" vertical="center" wrapText="1"/>
      <protection locked="0"/>
    </xf>
    <xf numFmtId="49" fontId="47" fillId="0" borderId="52" xfId="0" applyNumberFormat="1" applyFont="1" applyFill="1" applyBorder="1" applyAlignment="1">
      <alignment horizontal="center" vertical="center"/>
    </xf>
    <xf numFmtId="182" fontId="18" fillId="0" borderId="16" xfId="0" applyNumberFormat="1" applyFont="1" applyFill="1" applyBorder="1" applyAlignment="1">
      <alignment horizontal="center" vertical="center" wrapText="1"/>
    </xf>
    <xf numFmtId="182" fontId="29" fillId="0" borderId="36" xfId="0" applyNumberFormat="1" applyFont="1" applyFill="1" applyBorder="1" applyAlignment="1" applyProtection="1">
      <alignment horizontal="center" vertical="center"/>
      <protection locked="0"/>
    </xf>
    <xf numFmtId="2" fontId="18" fillId="0" borderId="0" xfId="0" applyNumberFormat="1" applyFont="1" applyFill="1" applyBorder="1" applyAlignment="1">
      <alignment horizontal="left" vertical="center" wrapText="1"/>
    </xf>
    <xf numFmtId="182" fontId="47" fillId="0" borderId="31" xfId="0" applyNumberFormat="1" applyFont="1" applyFill="1" applyBorder="1" applyAlignment="1">
      <alignment horizontal="center" vertical="center"/>
    </xf>
    <xf numFmtId="182" fontId="29" fillId="0" borderId="49" xfId="0" applyNumberFormat="1" applyFont="1" applyFill="1" applyBorder="1" applyAlignment="1">
      <alignment horizontal="center" vertical="center"/>
    </xf>
    <xf numFmtId="0" fontId="47" fillId="0" borderId="50" xfId="0" applyFont="1" applyFill="1" applyBorder="1" applyAlignment="1">
      <alignment horizontal="center" vertical="center" wrapText="1"/>
    </xf>
    <xf numFmtId="49" fontId="18" fillId="0" borderId="16" xfId="0" applyNumberFormat="1" applyFont="1" applyFill="1" applyBorder="1" applyAlignment="1" applyProtection="1">
      <alignment horizontal="center" vertical="center" wrapText="1"/>
      <protection locked="0"/>
    </xf>
    <xf numFmtId="182" fontId="48" fillId="0" borderId="16" xfId="0" applyNumberFormat="1" applyFont="1" applyFill="1" applyBorder="1" applyAlignment="1" applyProtection="1">
      <alignment horizontal="center" vertical="center"/>
      <protection locked="0"/>
    </xf>
    <xf numFmtId="182" fontId="47" fillId="0" borderId="31" xfId="3" applyNumberFormat="1" applyFont="1" applyFill="1" applyBorder="1" applyAlignment="1">
      <alignment horizontal="center" vertical="center"/>
    </xf>
    <xf numFmtId="0" fontId="49" fillId="0" borderId="49" xfId="0" applyFont="1" applyFill="1" applyBorder="1" applyAlignment="1" applyProtection="1">
      <alignment vertical="center" wrapText="1"/>
      <protection locked="0"/>
    </xf>
    <xf numFmtId="182" fontId="49" fillId="0" borderId="0" xfId="0" applyNumberFormat="1" applyFont="1" applyFill="1" applyBorder="1" applyAlignment="1" applyProtection="1">
      <alignment vertical="center" wrapText="1"/>
      <protection locked="0"/>
    </xf>
    <xf numFmtId="0" fontId="49" fillId="0" borderId="0" xfId="0" applyFont="1" applyFill="1" applyBorder="1" applyAlignment="1" applyProtection="1">
      <alignment vertical="center" wrapText="1"/>
      <protection locked="0"/>
    </xf>
    <xf numFmtId="182" fontId="49" fillId="0" borderId="49" xfId="0" applyNumberFormat="1" applyFont="1" applyFill="1" applyBorder="1" applyAlignment="1" applyProtection="1">
      <alignment vertical="center" wrapText="1"/>
      <protection locked="0"/>
    </xf>
    <xf numFmtId="49" fontId="18" fillId="0" borderId="36" xfId="0" applyNumberFormat="1" applyFont="1" applyFill="1" applyBorder="1" applyAlignment="1">
      <alignment horizontal="center" vertical="center"/>
    </xf>
    <xf numFmtId="182" fontId="18" fillId="0" borderId="36" xfId="0" applyNumberFormat="1" applyFont="1" applyFill="1" applyBorder="1" applyAlignment="1">
      <alignment horizontal="center" vertical="center"/>
    </xf>
    <xf numFmtId="182" fontId="47" fillId="0" borderId="36" xfId="0" applyNumberFormat="1" applyFont="1" applyFill="1" applyBorder="1" applyAlignment="1">
      <alignment horizontal="center" vertical="center"/>
    </xf>
    <xf numFmtId="182" fontId="47" fillId="0" borderId="32" xfId="0" applyNumberFormat="1" applyFont="1" applyFill="1" applyBorder="1" applyAlignment="1">
      <alignment horizontal="center" vertical="center"/>
    </xf>
    <xf numFmtId="49" fontId="16" fillId="0" borderId="50" xfId="0" applyNumberFormat="1" applyFont="1" applyFill="1" applyBorder="1" applyAlignment="1">
      <alignment horizontal="left" wrapText="1"/>
    </xf>
    <xf numFmtId="200" fontId="18" fillId="0" borderId="50" xfId="0" applyNumberFormat="1" applyFont="1" applyFill="1" applyBorder="1" applyAlignment="1">
      <alignment horizontal="center" vertical="center" wrapText="1"/>
    </xf>
    <xf numFmtId="49" fontId="18" fillId="0" borderId="50" xfId="0" applyNumberFormat="1" applyFont="1" applyFill="1" applyBorder="1" applyAlignment="1"/>
    <xf numFmtId="2" fontId="18" fillId="0" borderId="50" xfId="0" applyNumberFormat="1" applyFont="1" applyFill="1" applyBorder="1" applyAlignment="1">
      <alignment horizontal="center" vertical="center" wrapText="1"/>
    </xf>
    <xf numFmtId="182" fontId="50" fillId="0" borderId="16" xfId="0" applyNumberFormat="1" applyFont="1" applyFill="1" applyBorder="1" applyAlignment="1">
      <alignment horizontal="center" vertical="center" wrapText="1"/>
    </xf>
    <xf numFmtId="0" fontId="50" fillId="0" borderId="16" xfId="0" applyFont="1" applyFill="1" applyBorder="1" applyAlignment="1" applyProtection="1">
      <alignment horizontal="center" vertical="center"/>
      <protection locked="0"/>
    </xf>
    <xf numFmtId="0" fontId="47" fillId="0" borderId="16" xfId="0" applyFont="1" applyFill="1" applyBorder="1" applyAlignment="1" applyProtection="1">
      <alignment horizontal="center" vertical="center"/>
      <protection locked="0"/>
    </xf>
    <xf numFmtId="182" fontId="47" fillId="0" borderId="16" xfId="0" applyNumberFormat="1" applyFont="1" applyFill="1" applyBorder="1" applyAlignment="1">
      <alignment horizontal="center" vertical="center" wrapText="1"/>
    </xf>
    <xf numFmtId="0" fontId="47" fillId="0" borderId="51" xfId="0" applyFont="1" applyFill="1" applyBorder="1" applyAlignment="1" applyProtection="1">
      <alignment horizontal="center" vertical="center"/>
      <protection locked="0"/>
    </xf>
    <xf numFmtId="182" fontId="47" fillId="0" borderId="51" xfId="0" applyNumberFormat="1" applyFont="1" applyFill="1" applyBorder="1" applyAlignment="1">
      <alignment horizontal="center" vertical="center"/>
    </xf>
    <xf numFmtId="182" fontId="47" fillId="0" borderId="16" xfId="0" applyNumberFormat="1" applyFont="1" applyFill="1" applyBorder="1" applyAlignment="1">
      <alignment horizontal="center" vertical="center"/>
    </xf>
    <xf numFmtId="0" fontId="18" fillId="0" borderId="50" xfId="0" applyFont="1" applyFill="1" applyBorder="1" applyAlignment="1">
      <alignment horizontal="center" vertical="center" wrapText="1"/>
    </xf>
    <xf numFmtId="49" fontId="18" fillId="0" borderId="49" xfId="0" applyNumberFormat="1" applyFont="1" applyFill="1" applyBorder="1" applyAlignment="1">
      <alignment horizontal="left"/>
    </xf>
    <xf numFmtId="182" fontId="29" fillId="0" borderId="49" xfId="0" applyNumberFormat="1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vertical="center" wrapText="1"/>
    </xf>
    <xf numFmtId="49" fontId="50" fillId="0" borderId="38" xfId="0" applyNumberFormat="1" applyFont="1" applyFill="1" applyBorder="1" applyAlignment="1">
      <alignment horizontal="center" vertical="center"/>
    </xf>
    <xf numFmtId="182" fontId="50" fillId="0" borderId="27" xfId="0" applyNumberFormat="1" applyFont="1" applyFill="1" applyBorder="1" applyAlignment="1">
      <alignment horizontal="center" vertical="center"/>
    </xf>
    <xf numFmtId="0" fontId="0" fillId="0" borderId="54" xfId="0" applyFill="1" applyBorder="1"/>
    <xf numFmtId="0" fontId="0" fillId="0" borderId="55" xfId="0" applyFill="1" applyBorder="1"/>
    <xf numFmtId="0" fontId="0" fillId="0" borderId="0" xfId="0" applyFill="1" applyBorder="1"/>
    <xf numFmtId="0" fontId="0" fillId="0" borderId="49" xfId="0" applyFill="1" applyBorder="1"/>
    <xf numFmtId="0" fontId="26" fillId="0" borderId="0" xfId="0" applyFont="1" applyFill="1"/>
    <xf numFmtId="49" fontId="18" fillId="0" borderId="15" xfId="0" applyNumberFormat="1" applyFont="1" applyFill="1" applyBorder="1" applyAlignment="1">
      <alignment horizontal="center"/>
    </xf>
    <xf numFmtId="2" fontId="18" fillId="0" borderId="15" xfId="0" applyNumberFormat="1" applyFont="1" applyFill="1" applyBorder="1" applyAlignment="1">
      <alignment horizontal="center" vertical="center"/>
    </xf>
    <xf numFmtId="49" fontId="18" fillId="0" borderId="15" xfId="0" applyNumberFormat="1" applyFont="1" applyFill="1" applyBorder="1" applyAlignment="1">
      <alignment horizontal="left"/>
    </xf>
    <xf numFmtId="178" fontId="18" fillId="0" borderId="56" xfId="0" applyNumberFormat="1" applyFont="1" applyFill="1" applyBorder="1" applyAlignment="1" applyProtection="1">
      <alignment horizontal="center" vertical="center"/>
      <protection locked="0"/>
    </xf>
    <xf numFmtId="2" fontId="18" fillId="0" borderId="56" xfId="0" applyNumberFormat="1" applyFont="1" applyFill="1" applyBorder="1" applyAlignment="1">
      <alignment horizontal="center" vertical="center"/>
    </xf>
    <xf numFmtId="0" fontId="0" fillId="0" borderId="0" xfId="0" applyFont="1" applyFill="1"/>
    <xf numFmtId="49" fontId="18" fillId="0" borderId="57" xfId="0" applyNumberFormat="1" applyFont="1" applyFill="1" applyBorder="1" applyAlignment="1">
      <alignment horizontal="center" vertical="center"/>
    </xf>
    <xf numFmtId="2" fontId="47" fillId="0" borderId="50" xfId="0" applyNumberFormat="1" applyFont="1" applyFill="1" applyBorder="1" applyAlignment="1">
      <alignment horizontal="center" vertical="center" wrapText="1"/>
    </xf>
    <xf numFmtId="200" fontId="47" fillId="0" borderId="50" xfId="0" applyNumberFormat="1" applyFont="1" applyFill="1" applyBorder="1" applyAlignment="1">
      <alignment horizontal="center" vertical="center" wrapText="1"/>
    </xf>
    <xf numFmtId="49" fontId="18" fillId="0" borderId="58" xfId="0" applyNumberFormat="1" applyFont="1" applyFill="1" applyBorder="1" applyAlignment="1">
      <alignment horizontal="center" vertical="center"/>
    </xf>
    <xf numFmtId="182" fontId="50" fillId="0" borderId="49" xfId="0" applyNumberFormat="1" applyFont="1" applyFill="1" applyBorder="1" applyAlignment="1">
      <alignment horizontal="center" vertical="center"/>
    </xf>
    <xf numFmtId="200" fontId="18" fillId="0" borderId="0" xfId="0" applyNumberFormat="1" applyFont="1" applyFill="1" applyBorder="1" applyAlignment="1">
      <alignment horizontal="left" vertical="top" wrapText="1"/>
    </xf>
    <xf numFmtId="182" fontId="18" fillId="0" borderId="50" xfId="0" applyNumberFormat="1" applyFont="1" applyFill="1" applyBorder="1" applyAlignment="1">
      <alignment horizontal="center" vertical="center" wrapText="1"/>
    </xf>
    <xf numFmtId="49" fontId="18" fillId="0" borderId="59" xfId="0" applyNumberFormat="1" applyFont="1" applyFill="1" applyBorder="1" applyAlignment="1">
      <alignment horizontal="center" vertical="center"/>
    </xf>
    <xf numFmtId="49" fontId="16" fillId="0" borderId="20" xfId="0" applyNumberFormat="1" applyFont="1" applyFill="1" applyBorder="1" applyAlignment="1">
      <alignment horizontal="left" wrapText="1"/>
    </xf>
    <xf numFmtId="200" fontId="18" fillId="0" borderId="20" xfId="0" applyNumberFormat="1" applyFont="1" applyFill="1" applyBorder="1" applyAlignment="1">
      <alignment horizontal="center" vertical="center" wrapText="1"/>
    </xf>
    <xf numFmtId="49" fontId="18" fillId="0" borderId="20" xfId="0" applyNumberFormat="1" applyFont="1" applyFill="1" applyBorder="1" applyAlignment="1"/>
    <xf numFmtId="2" fontId="18" fillId="0" borderId="20" xfId="0" applyNumberFormat="1" applyFont="1" applyFill="1" applyBorder="1" applyAlignment="1">
      <alignment horizontal="center" vertical="center" wrapText="1"/>
    </xf>
    <xf numFmtId="2" fontId="47" fillId="0" borderId="20" xfId="0" applyNumberFormat="1" applyFont="1" applyFill="1" applyBorder="1" applyAlignment="1">
      <alignment horizontal="center" vertical="center" wrapText="1"/>
    </xf>
    <xf numFmtId="200" fontId="47" fillId="0" borderId="20" xfId="0" applyNumberFormat="1" applyFont="1" applyFill="1" applyBorder="1" applyAlignment="1">
      <alignment horizontal="center" vertical="center" wrapText="1"/>
    </xf>
    <xf numFmtId="49" fontId="18" fillId="0" borderId="60" xfId="0" applyNumberFormat="1" applyFont="1" applyFill="1" applyBorder="1" applyAlignment="1">
      <alignment horizontal="center" vertical="center"/>
    </xf>
    <xf numFmtId="49" fontId="18" fillId="0" borderId="56" xfId="0" applyNumberFormat="1" applyFont="1" applyFill="1" applyBorder="1" applyAlignment="1">
      <alignment horizontal="center" vertical="center"/>
    </xf>
    <xf numFmtId="182" fontId="50" fillId="0" borderId="31" xfId="0" applyNumberFormat="1" applyFont="1" applyFill="1" applyBorder="1" applyAlignment="1">
      <alignment horizontal="center" vertical="center"/>
    </xf>
    <xf numFmtId="0" fontId="51" fillId="0" borderId="31" xfId="0" applyFont="1" applyFill="1" applyBorder="1" applyAlignment="1" applyProtection="1">
      <alignment horizontal="center" vertical="center"/>
      <protection locked="0"/>
    </xf>
    <xf numFmtId="2" fontId="18" fillId="0" borderId="60" xfId="0" applyNumberFormat="1" applyFont="1" applyFill="1" applyBorder="1" applyAlignment="1">
      <alignment horizontal="left" vertical="center" wrapText="1"/>
    </xf>
    <xf numFmtId="200" fontId="18" fillId="0" borderId="56" xfId="0" applyNumberFormat="1" applyFont="1" applyFill="1" applyBorder="1" applyAlignment="1">
      <alignment horizontal="left" vertical="top" wrapText="1"/>
    </xf>
    <xf numFmtId="49" fontId="18" fillId="0" borderId="15" xfId="0" applyNumberFormat="1" applyFont="1" applyFill="1" applyBorder="1" applyAlignment="1">
      <alignment horizontal="center" vertical="center" wrapText="1"/>
    </xf>
    <xf numFmtId="182" fontId="18" fillId="0" borderId="15" xfId="0" applyNumberFormat="1" applyFont="1" applyFill="1" applyBorder="1" applyAlignment="1">
      <alignment horizontal="center" vertical="center" wrapText="1"/>
    </xf>
    <xf numFmtId="182" fontId="18" fillId="0" borderId="55" xfId="0" applyNumberFormat="1" applyFont="1" applyFill="1" applyBorder="1" applyAlignment="1">
      <alignment horizontal="center" vertical="center"/>
    </xf>
    <xf numFmtId="0" fontId="47" fillId="0" borderId="15" xfId="0" applyFont="1" applyFill="1" applyBorder="1" applyAlignment="1" applyProtection="1">
      <alignment horizontal="center" vertical="center"/>
      <protection locked="0"/>
    </xf>
    <xf numFmtId="182" fontId="47" fillId="0" borderId="15" xfId="0" applyNumberFormat="1" applyFont="1" applyFill="1" applyBorder="1" applyAlignment="1">
      <alignment horizontal="center" vertical="center" wrapText="1"/>
    </xf>
    <xf numFmtId="0" fontId="41" fillId="0" borderId="0" xfId="0" applyFont="1" applyFill="1" applyBorder="1" applyAlignment="1" applyProtection="1">
      <alignment vertical="center" wrapText="1"/>
      <protection locked="0"/>
    </xf>
    <xf numFmtId="49" fontId="18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 applyProtection="1">
      <alignment horizontal="center" vertical="center"/>
      <protection locked="0"/>
    </xf>
    <xf numFmtId="49" fontId="18" fillId="0" borderId="61" xfId="0" applyNumberFormat="1" applyFont="1" applyFill="1" applyBorder="1" applyAlignment="1">
      <alignment horizontal="center" vertical="center"/>
    </xf>
    <xf numFmtId="49" fontId="18" fillId="0" borderId="53" xfId="0" applyNumberFormat="1" applyFont="1" applyFill="1" applyBorder="1" applyAlignment="1">
      <alignment horizontal="left" vertical="top" wrapText="1"/>
    </xf>
    <xf numFmtId="49" fontId="18" fillId="0" borderId="53" xfId="0" applyNumberFormat="1" applyFont="1" applyFill="1" applyBorder="1" applyAlignment="1">
      <alignment horizontal="center" vertical="center" wrapText="1"/>
    </xf>
    <xf numFmtId="182" fontId="18" fillId="0" borderId="53" xfId="0" applyNumberFormat="1" applyFont="1" applyFill="1" applyBorder="1" applyAlignment="1">
      <alignment horizontal="center" vertical="center"/>
    </xf>
    <xf numFmtId="0" fontId="18" fillId="0" borderId="53" xfId="0" applyFont="1" applyFill="1" applyBorder="1" applyAlignment="1" applyProtection="1">
      <alignment horizontal="center" vertical="center"/>
      <protection locked="0"/>
    </xf>
    <xf numFmtId="182" fontId="18" fillId="0" borderId="62" xfId="0" applyNumberFormat="1" applyFont="1" applyFill="1" applyBorder="1" applyAlignment="1">
      <alignment horizontal="center" vertical="center"/>
    </xf>
    <xf numFmtId="0" fontId="42" fillId="0" borderId="0" xfId="0" applyFont="1" applyFill="1" applyBorder="1"/>
    <xf numFmtId="49" fontId="18" fillId="0" borderId="54" xfId="0" applyNumberFormat="1" applyFont="1" applyFill="1" applyBorder="1" applyAlignment="1">
      <alignment horizontal="center" vertical="center"/>
    </xf>
    <xf numFmtId="182" fontId="29" fillId="0" borderId="53" xfId="0" applyNumberFormat="1" applyFont="1" applyFill="1" applyBorder="1" applyAlignment="1" applyProtection="1">
      <alignment horizontal="center" vertical="center"/>
      <protection locked="0"/>
    </xf>
    <xf numFmtId="182" fontId="48" fillId="0" borderId="53" xfId="0" applyNumberFormat="1" applyFont="1" applyFill="1" applyBorder="1" applyAlignment="1" applyProtection="1">
      <alignment horizontal="center" vertical="center"/>
      <protection locked="0"/>
    </xf>
    <xf numFmtId="49" fontId="18" fillId="0" borderId="54" xfId="0" applyNumberFormat="1" applyFont="1" applyFill="1" applyBorder="1" applyAlignment="1">
      <alignment horizontal="left" vertical="top" wrapText="1"/>
    </xf>
    <xf numFmtId="49" fontId="18" fillId="0" borderId="54" xfId="0" applyNumberFormat="1" applyFont="1" applyFill="1" applyBorder="1" applyAlignment="1">
      <alignment horizontal="center" vertical="center" wrapText="1"/>
    </xf>
    <xf numFmtId="182" fontId="18" fillId="0" borderId="54" xfId="0" applyNumberFormat="1" applyFont="1" applyFill="1" applyBorder="1" applyAlignment="1">
      <alignment horizontal="center" vertical="center"/>
    </xf>
    <xf numFmtId="182" fontId="29" fillId="0" borderId="54" xfId="0" applyNumberFormat="1" applyFont="1" applyFill="1" applyBorder="1" applyAlignment="1" applyProtection="1">
      <alignment horizontal="center" vertical="center"/>
      <protection locked="0"/>
    </xf>
    <xf numFmtId="0" fontId="18" fillId="0" borderId="54" xfId="0" applyFont="1" applyFill="1" applyBorder="1" applyAlignment="1" applyProtection="1">
      <alignment horizontal="center" vertical="center"/>
      <protection locked="0"/>
    </xf>
    <xf numFmtId="182" fontId="48" fillId="0" borderId="54" xfId="0" applyNumberFormat="1" applyFont="1" applyFill="1" applyBorder="1" applyAlignment="1" applyProtection="1">
      <alignment horizontal="center" vertical="center"/>
      <protection locked="0"/>
    </xf>
    <xf numFmtId="182" fontId="50" fillId="0" borderId="53" xfId="0" applyNumberFormat="1" applyFont="1" applyFill="1" applyBorder="1" applyAlignment="1">
      <alignment horizontal="center" vertical="center"/>
    </xf>
    <xf numFmtId="182" fontId="50" fillId="0" borderId="54" xfId="0" applyNumberFormat="1" applyFont="1" applyFill="1" applyBorder="1" applyAlignment="1">
      <alignment horizontal="center" vertical="center"/>
    </xf>
    <xf numFmtId="0" fontId="47" fillId="0" borderId="53" xfId="0" applyFont="1" applyFill="1" applyBorder="1" applyAlignment="1" applyProtection="1">
      <alignment horizontal="center" vertical="center"/>
      <protection locked="0"/>
    </xf>
    <xf numFmtId="0" fontId="47" fillId="0" borderId="54" xfId="0" applyFont="1" applyFill="1" applyBorder="1" applyAlignment="1" applyProtection="1">
      <alignment horizontal="center" vertical="center"/>
      <protection locked="0"/>
    </xf>
    <xf numFmtId="0" fontId="18" fillId="0" borderId="15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18" fillId="0" borderId="57" xfId="0" applyFont="1" applyFill="1" applyBorder="1" applyAlignment="1">
      <alignment horizontal="center" vertical="center"/>
    </xf>
    <xf numFmtId="0" fontId="18" fillId="0" borderId="49" xfId="0" applyFont="1" applyFill="1" applyBorder="1"/>
    <xf numFmtId="0" fontId="18" fillId="0" borderId="61" xfId="0" applyFont="1" applyFill="1" applyBorder="1" applyAlignment="1">
      <alignment horizontal="center" vertical="center"/>
    </xf>
    <xf numFmtId="0" fontId="18" fillId="0" borderId="53" xfId="0" applyFont="1" applyFill="1" applyBorder="1"/>
    <xf numFmtId="0" fontId="18" fillId="0" borderId="53" xfId="0" applyFont="1" applyFill="1" applyBorder="1" applyAlignment="1">
      <alignment horizontal="center" vertical="center"/>
    </xf>
    <xf numFmtId="0" fontId="18" fillId="0" borderId="62" xfId="0" applyFont="1" applyFill="1" applyBorder="1"/>
    <xf numFmtId="0" fontId="18" fillId="0" borderId="54" xfId="0" applyFont="1" applyFill="1" applyBorder="1" applyAlignment="1">
      <alignment horizontal="center" vertical="center"/>
    </xf>
    <xf numFmtId="0" fontId="18" fillId="0" borderId="54" xfId="0" applyFont="1" applyFill="1" applyBorder="1"/>
    <xf numFmtId="0" fontId="18" fillId="0" borderId="63" xfId="0" applyFont="1" applyFill="1" applyBorder="1" applyAlignment="1">
      <alignment horizontal="center" vertical="center"/>
    </xf>
    <xf numFmtId="0" fontId="18" fillId="0" borderId="64" xfId="0" applyFont="1" applyFill="1" applyBorder="1"/>
    <xf numFmtId="0" fontId="18" fillId="0" borderId="64" xfId="0" applyFont="1" applyFill="1" applyBorder="1" applyAlignment="1">
      <alignment horizontal="center" vertical="center"/>
    </xf>
    <xf numFmtId="0" fontId="18" fillId="0" borderId="13" xfId="0" applyFont="1" applyFill="1" applyBorder="1"/>
    <xf numFmtId="0" fontId="50" fillId="0" borderId="31" xfId="0" applyFont="1" applyFill="1" applyBorder="1" applyAlignment="1" applyProtection="1">
      <alignment horizontal="center" vertical="center"/>
      <protection locked="0"/>
    </xf>
    <xf numFmtId="49" fontId="18" fillId="0" borderId="65" xfId="0" applyNumberFormat="1" applyFont="1" applyFill="1" applyBorder="1" applyAlignment="1">
      <alignment horizontal="center" vertical="center"/>
    </xf>
    <xf numFmtId="49" fontId="16" fillId="0" borderId="16" xfId="0" applyNumberFormat="1" applyFont="1" applyFill="1" applyBorder="1" applyAlignment="1">
      <alignment horizontal="left" wrapText="1"/>
    </xf>
    <xf numFmtId="200" fontId="18" fillId="0" borderId="26" xfId="0" applyNumberFormat="1" applyFont="1" applyFill="1" applyBorder="1" applyAlignment="1">
      <alignment horizontal="left" vertical="top" wrapText="1"/>
    </xf>
    <xf numFmtId="182" fontId="50" fillId="0" borderId="32" xfId="0" applyNumberFormat="1" applyFont="1" applyFill="1" applyBorder="1" applyAlignment="1">
      <alignment horizontal="center" vertical="center"/>
    </xf>
    <xf numFmtId="182" fontId="50" fillId="0" borderId="31" xfId="0" applyNumberFormat="1" applyFont="1" applyFill="1" applyBorder="1" applyAlignment="1">
      <alignment horizontal="center" vertical="center" wrapText="1"/>
    </xf>
    <xf numFmtId="0" fontId="50" fillId="0" borderId="50" xfId="0" applyFont="1" applyFill="1" applyBorder="1" applyAlignment="1" applyProtection="1">
      <alignment horizontal="center" vertical="center"/>
      <protection locked="0"/>
    </xf>
    <xf numFmtId="182" fontId="50" fillId="0" borderId="50" xfId="0" applyNumberFormat="1" applyFont="1" applyFill="1" applyBorder="1" applyAlignment="1">
      <alignment horizontal="center" vertical="center" wrapText="1"/>
    </xf>
    <xf numFmtId="200" fontId="18" fillId="0" borderId="16" xfId="0" applyNumberFormat="1" applyFont="1" applyFill="1" applyBorder="1" applyAlignment="1">
      <alignment horizontal="center" vertical="center" wrapText="1"/>
    </xf>
    <xf numFmtId="49" fontId="18" fillId="0" borderId="16" xfId="0" applyNumberFormat="1" applyFont="1" applyFill="1" applyBorder="1" applyAlignment="1"/>
    <xf numFmtId="2" fontId="18" fillId="0" borderId="16" xfId="0" applyNumberFormat="1" applyFont="1" applyFill="1" applyBorder="1" applyAlignment="1">
      <alignment horizontal="center" vertical="center" wrapText="1"/>
    </xf>
    <xf numFmtId="2" fontId="47" fillId="0" borderId="16" xfId="0" applyNumberFormat="1" applyFont="1" applyFill="1" applyBorder="1" applyAlignment="1">
      <alignment horizontal="center" vertical="center" wrapText="1"/>
    </xf>
    <xf numFmtId="200" fontId="47" fillId="0" borderId="16" xfId="0" applyNumberFormat="1" applyFont="1" applyFill="1" applyBorder="1" applyAlignment="1">
      <alignment horizontal="center" vertical="center" wrapText="1"/>
    </xf>
    <xf numFmtId="2" fontId="18" fillId="0" borderId="36" xfId="0" applyNumberFormat="1" applyFont="1" applyFill="1" applyBorder="1" applyProtection="1">
      <protection locked="0"/>
    </xf>
    <xf numFmtId="49" fontId="18" fillId="0" borderId="37" xfId="0" applyNumberFormat="1" applyFont="1" applyFill="1" applyBorder="1" applyAlignment="1">
      <alignment horizontal="left"/>
    </xf>
    <xf numFmtId="2" fontId="47" fillId="0" borderId="36" xfId="0" applyNumberFormat="1" applyFont="1" applyFill="1" applyBorder="1" applyProtection="1">
      <protection locked="0"/>
    </xf>
    <xf numFmtId="49" fontId="47" fillId="0" borderId="36" xfId="0" applyNumberFormat="1" applyFont="1" applyFill="1" applyBorder="1" applyAlignment="1" applyProtection="1">
      <alignment horizontal="center" vertical="center"/>
      <protection locked="0"/>
    </xf>
    <xf numFmtId="200" fontId="18" fillId="0" borderId="15" xfId="0" applyNumberFormat="1" applyFont="1" applyFill="1" applyBorder="1" applyAlignment="1">
      <alignment horizontal="left" vertical="top" wrapText="1"/>
    </xf>
    <xf numFmtId="0" fontId="18" fillId="0" borderId="66" xfId="0" applyFont="1" applyFill="1" applyBorder="1" applyAlignment="1">
      <alignment horizontal="center" vertical="center"/>
    </xf>
    <xf numFmtId="0" fontId="18" fillId="0" borderId="67" xfId="0" applyFont="1" applyFill="1" applyBorder="1"/>
    <xf numFmtId="0" fontId="18" fillId="0" borderId="67" xfId="0" applyFont="1" applyFill="1" applyBorder="1" applyAlignment="1">
      <alignment horizontal="center" vertical="center"/>
    </xf>
    <xf numFmtId="0" fontId="18" fillId="0" borderId="52" xfId="0" applyFont="1" applyFill="1" applyBorder="1"/>
    <xf numFmtId="49" fontId="47" fillId="0" borderId="16" xfId="0" applyNumberFormat="1" applyFont="1" applyFill="1" applyBorder="1" applyAlignment="1">
      <alignment horizontal="left" vertical="center" wrapText="1"/>
    </xf>
    <xf numFmtId="49" fontId="52" fillId="0" borderId="16" xfId="0" applyNumberFormat="1" applyFont="1" applyFill="1" applyBorder="1" applyAlignment="1">
      <alignment horizontal="left" vertical="top" wrapText="1"/>
    </xf>
    <xf numFmtId="182" fontId="18" fillId="0" borderId="37" xfId="0" applyNumberFormat="1" applyFont="1" applyFill="1" applyBorder="1" applyAlignment="1">
      <alignment horizontal="center" vertical="center"/>
    </xf>
    <xf numFmtId="0" fontId="18" fillId="0" borderId="36" xfId="0" applyFont="1" applyFill="1" applyBorder="1" applyAlignment="1" applyProtection="1">
      <alignment horizontal="center" vertical="center"/>
      <protection locked="0"/>
    </xf>
    <xf numFmtId="49" fontId="52" fillId="0" borderId="36" xfId="0" applyNumberFormat="1" applyFont="1" applyFill="1" applyBorder="1" applyAlignment="1">
      <alignment horizontal="left" vertical="top" wrapText="1"/>
    </xf>
    <xf numFmtId="182" fontId="48" fillId="0" borderId="36" xfId="0" applyNumberFormat="1" applyFont="1" applyFill="1" applyBorder="1" applyAlignment="1" applyProtection="1">
      <alignment horizontal="center" vertical="center"/>
      <protection locked="0"/>
    </xf>
    <xf numFmtId="49" fontId="18" fillId="0" borderId="53" xfId="0" applyNumberFormat="1" applyFont="1" applyFill="1" applyBorder="1" applyAlignment="1" applyProtection="1">
      <alignment horizontal="center" vertical="center" wrapText="1"/>
      <protection locked="0"/>
    </xf>
    <xf numFmtId="182" fontId="48" fillId="0" borderId="62" xfId="0" applyNumberFormat="1" applyFont="1" applyFill="1" applyBorder="1" applyAlignment="1" applyProtection="1">
      <alignment horizontal="center" vertical="center"/>
      <protection locked="0"/>
    </xf>
    <xf numFmtId="49" fontId="18" fillId="0" borderId="54" xfId="0" applyNumberFormat="1" applyFont="1" applyFill="1" applyBorder="1" applyAlignment="1" applyProtection="1">
      <alignment horizontal="center" vertical="center" wrapText="1"/>
      <protection locked="0"/>
    </xf>
    <xf numFmtId="49" fontId="50" fillId="0" borderId="31" xfId="0" applyNumberFormat="1" applyFont="1" applyFill="1" applyBorder="1" applyAlignment="1">
      <alignment horizontal="center" vertical="center"/>
    </xf>
    <xf numFmtId="200" fontId="50" fillId="0" borderId="2" xfId="0" applyNumberFormat="1" applyFont="1" applyFill="1" applyBorder="1" applyAlignment="1">
      <alignment horizontal="left" vertical="top" wrapText="1"/>
    </xf>
    <xf numFmtId="200" fontId="50" fillId="0" borderId="38" xfId="0" applyNumberFormat="1" applyFont="1" applyFill="1" applyBorder="1" applyAlignment="1">
      <alignment horizontal="center" vertical="center" wrapText="1"/>
    </xf>
    <xf numFmtId="49" fontId="50" fillId="0" borderId="38" xfId="0" applyNumberFormat="1" applyFont="1" applyFill="1" applyBorder="1" applyAlignment="1"/>
    <xf numFmtId="2" fontId="50" fillId="0" borderId="38" xfId="0" applyNumberFormat="1" applyFont="1" applyFill="1" applyBorder="1" applyAlignment="1">
      <alignment horizontal="center" vertical="center" wrapText="1"/>
    </xf>
    <xf numFmtId="2" fontId="18" fillId="0" borderId="38" xfId="0" applyNumberFormat="1" applyFont="1" applyFill="1" applyBorder="1" applyAlignment="1">
      <alignment horizontal="center" vertical="center" wrapText="1"/>
    </xf>
    <xf numFmtId="200" fontId="18" fillId="0" borderId="38" xfId="0" applyNumberFormat="1" applyFont="1" applyFill="1" applyBorder="1" applyAlignment="1">
      <alignment horizontal="center" vertical="center" wrapText="1"/>
    </xf>
    <xf numFmtId="49" fontId="50" fillId="0" borderId="36" xfId="0" applyNumberFormat="1" applyFont="1" applyFill="1" applyBorder="1" applyAlignment="1">
      <alignment horizontal="center" vertical="center"/>
    </xf>
    <xf numFmtId="0" fontId="18" fillId="0" borderId="36" xfId="0" applyFont="1" applyFill="1" applyBorder="1" applyAlignment="1">
      <alignment vertical="center" wrapText="1"/>
    </xf>
    <xf numFmtId="182" fontId="18" fillId="0" borderId="36" xfId="0" applyNumberFormat="1" applyFont="1" applyFill="1" applyBorder="1" applyAlignment="1">
      <alignment horizontal="center" vertical="center" wrapText="1"/>
    </xf>
    <xf numFmtId="0" fontId="50" fillId="0" borderId="36" xfId="0" applyFont="1" applyFill="1" applyBorder="1" applyAlignment="1" applyProtection="1">
      <alignment horizontal="center" vertical="center"/>
      <protection locked="0"/>
    </xf>
    <xf numFmtId="182" fontId="50" fillId="0" borderId="36" xfId="0" applyNumberFormat="1" applyFont="1" applyFill="1" applyBorder="1" applyAlignment="1">
      <alignment horizontal="center" vertical="center" wrapText="1"/>
    </xf>
    <xf numFmtId="49" fontId="50" fillId="0" borderId="61" xfId="0" applyNumberFormat="1" applyFont="1" applyFill="1" applyBorder="1" applyAlignment="1">
      <alignment horizontal="center" vertical="center"/>
    </xf>
    <xf numFmtId="49" fontId="50" fillId="0" borderId="54" xfId="0" applyNumberFormat="1" applyFont="1" applyFill="1" applyBorder="1" applyAlignment="1">
      <alignment horizontal="center" vertical="center"/>
    </xf>
    <xf numFmtId="0" fontId="47" fillId="0" borderId="62" xfId="0" applyFont="1" applyFill="1" applyBorder="1" applyAlignment="1" applyProtection="1">
      <alignment horizontal="center" vertical="center"/>
      <protection locked="0"/>
    </xf>
    <xf numFmtId="2" fontId="18" fillId="0" borderId="54" xfId="0" applyNumberFormat="1" applyFont="1" applyFill="1" applyBorder="1" applyAlignment="1">
      <alignment horizontal="left" vertical="center" wrapText="1"/>
    </xf>
    <xf numFmtId="182" fontId="29" fillId="3" borderId="31" xfId="0" applyNumberFormat="1" applyFont="1" applyFill="1" applyBorder="1" applyAlignment="1" applyProtection="1">
      <alignment horizontal="center" vertical="center"/>
      <protection locked="0"/>
    </xf>
    <xf numFmtId="182" fontId="18" fillId="3" borderId="31" xfId="0" applyNumberFormat="1" applyFont="1" applyFill="1" applyBorder="1" applyAlignment="1">
      <alignment horizontal="center" vertical="center"/>
    </xf>
    <xf numFmtId="49" fontId="18" fillId="3" borderId="67" xfId="0" applyNumberFormat="1" applyFont="1" applyFill="1" applyBorder="1" applyAlignment="1">
      <alignment horizontal="center" vertical="center"/>
    </xf>
    <xf numFmtId="182" fontId="18" fillId="3" borderId="36" xfId="0" applyNumberFormat="1" applyFont="1" applyFill="1" applyBorder="1" applyAlignment="1">
      <alignment horizontal="center" vertical="center"/>
    </xf>
    <xf numFmtId="0" fontId="18" fillId="3" borderId="16" xfId="0" applyFont="1" applyFill="1" applyBorder="1" applyAlignment="1" applyProtection="1">
      <alignment horizontal="center" vertical="center"/>
      <protection locked="0"/>
    </xf>
    <xf numFmtId="182" fontId="18" fillId="3" borderId="26" xfId="0" applyNumberFormat="1" applyFont="1" applyFill="1" applyBorder="1" applyAlignment="1">
      <alignment horizontal="center" vertical="center"/>
    </xf>
    <xf numFmtId="182" fontId="18" fillId="3" borderId="31" xfId="0" applyNumberFormat="1" applyFont="1" applyFill="1" applyBorder="1" applyAlignment="1">
      <alignment horizontal="center" vertical="center" wrapText="1"/>
    </xf>
    <xf numFmtId="1" fontId="18" fillId="3" borderId="31" xfId="0" applyNumberFormat="1" applyFont="1" applyFill="1" applyBorder="1" applyAlignment="1">
      <alignment horizontal="center" vertical="center" wrapText="1"/>
    </xf>
    <xf numFmtId="1" fontId="18" fillId="3" borderId="31" xfId="0" applyNumberFormat="1" applyFont="1" applyFill="1" applyBorder="1" applyAlignment="1">
      <alignment horizontal="center" vertical="center"/>
    </xf>
    <xf numFmtId="1" fontId="18" fillId="0" borderId="32" xfId="0" applyNumberFormat="1" applyFont="1" applyFill="1" applyBorder="1" applyAlignment="1">
      <alignment horizontal="center" vertical="center"/>
    </xf>
    <xf numFmtId="1" fontId="18" fillId="3" borderId="32" xfId="0" applyNumberFormat="1" applyFont="1" applyFill="1" applyBorder="1" applyAlignment="1">
      <alignment horizontal="center" vertical="center"/>
    </xf>
    <xf numFmtId="1" fontId="18" fillId="0" borderId="16" xfId="0" applyNumberFormat="1" applyFont="1" applyFill="1" applyBorder="1" applyAlignment="1">
      <alignment horizontal="center" vertical="center" wrapText="1"/>
    </xf>
    <xf numFmtId="49" fontId="18" fillId="3" borderId="16" xfId="0" applyNumberFormat="1" applyFont="1" applyFill="1" applyBorder="1" applyAlignment="1" applyProtection="1">
      <alignment horizontal="center" vertical="center"/>
      <protection locked="0"/>
    </xf>
    <xf numFmtId="1" fontId="18" fillId="3" borderId="16" xfId="0" applyNumberFormat="1" applyFont="1" applyFill="1" applyBorder="1" applyAlignment="1">
      <alignment horizontal="center" vertical="center" wrapText="1"/>
    </xf>
    <xf numFmtId="0" fontId="18" fillId="3" borderId="50" xfId="0" applyFont="1" applyFill="1" applyBorder="1" applyAlignment="1" applyProtection="1">
      <alignment horizontal="center" vertical="center"/>
      <protection locked="0"/>
    </xf>
    <xf numFmtId="1" fontId="18" fillId="3" borderId="50" xfId="0" applyNumberFormat="1" applyFont="1" applyFill="1" applyBorder="1" applyAlignment="1">
      <alignment horizontal="center" vertical="center" wrapText="1"/>
    </xf>
    <xf numFmtId="0" fontId="47" fillId="0" borderId="50" xfId="0" applyFont="1" applyFill="1" applyBorder="1" applyAlignment="1" applyProtection="1">
      <alignment horizontal="center" vertical="center"/>
      <protection locked="0"/>
    </xf>
    <xf numFmtId="49" fontId="47" fillId="0" borderId="49" xfId="0" applyNumberFormat="1" applyFont="1" applyFill="1" applyBorder="1" applyAlignment="1">
      <alignment horizontal="center" vertical="center"/>
    </xf>
    <xf numFmtId="49" fontId="18" fillId="3" borderId="50" xfId="0" applyNumberFormat="1" applyFont="1" applyFill="1" applyBorder="1" applyAlignment="1">
      <alignment horizontal="center" vertical="center"/>
    </xf>
    <xf numFmtId="49" fontId="18" fillId="3" borderId="49" xfId="0" applyNumberFormat="1" applyFont="1" applyFill="1" applyBorder="1" applyAlignment="1">
      <alignment horizontal="center" vertical="center"/>
    </xf>
    <xf numFmtId="1" fontId="18" fillId="3" borderId="0" xfId="0" applyNumberFormat="1" applyFont="1" applyFill="1" applyBorder="1" applyAlignment="1">
      <alignment horizontal="center" vertical="center"/>
    </xf>
    <xf numFmtId="183" fontId="18" fillId="3" borderId="36" xfId="0" applyNumberFormat="1" applyFont="1" applyFill="1" applyBorder="1" applyAlignment="1">
      <alignment horizontal="center" vertical="center"/>
    </xf>
    <xf numFmtId="49" fontId="18" fillId="3" borderId="50" xfId="0" applyNumberFormat="1" applyFont="1" applyFill="1" applyBorder="1" applyAlignment="1">
      <alignment horizontal="center" vertical="center" wrapText="1"/>
    </xf>
    <xf numFmtId="1" fontId="18" fillId="3" borderId="49" xfId="0" applyNumberFormat="1" applyFont="1" applyFill="1" applyBorder="1" applyAlignment="1">
      <alignment horizontal="center" vertical="center"/>
    </xf>
    <xf numFmtId="182" fontId="18" fillId="3" borderId="50" xfId="0" applyNumberFormat="1" applyFont="1" applyFill="1" applyBorder="1" applyAlignment="1">
      <alignment horizontal="center" vertical="center"/>
    </xf>
    <xf numFmtId="182" fontId="29" fillId="0" borderId="50" xfId="0" applyNumberFormat="1" applyFont="1" applyFill="1" applyBorder="1" applyAlignment="1" applyProtection="1">
      <alignment horizontal="center" vertical="center"/>
      <protection locked="0"/>
    </xf>
    <xf numFmtId="49" fontId="18" fillId="3" borderId="31" xfId="0" applyNumberFormat="1" applyFont="1" applyFill="1" applyBorder="1" applyAlignment="1">
      <alignment horizontal="center" vertical="center"/>
    </xf>
    <xf numFmtId="49" fontId="18" fillId="3" borderId="31" xfId="0" applyNumberFormat="1" applyFont="1" applyFill="1" applyBorder="1" applyAlignment="1">
      <alignment horizontal="left" vertical="top" wrapText="1"/>
    </xf>
    <xf numFmtId="49" fontId="18" fillId="3" borderId="31" xfId="0" applyNumberFormat="1" applyFont="1" applyFill="1" applyBorder="1" applyAlignment="1">
      <alignment horizontal="center" vertical="center" wrapText="1"/>
    </xf>
    <xf numFmtId="182" fontId="18" fillId="3" borderId="32" xfId="0" applyNumberFormat="1" applyFont="1" applyFill="1" applyBorder="1" applyAlignment="1">
      <alignment horizontal="center" vertical="center"/>
    </xf>
    <xf numFmtId="182" fontId="29" fillId="3" borderId="50" xfId="0" applyNumberFormat="1" applyFont="1" applyFill="1" applyBorder="1" applyAlignment="1" applyProtection="1">
      <alignment horizontal="center" vertical="center"/>
      <protection locked="0"/>
    </xf>
    <xf numFmtId="1" fontId="29" fillId="3" borderId="50" xfId="0" applyNumberFormat="1" applyFont="1" applyFill="1" applyBorder="1" applyAlignment="1" applyProtection="1">
      <alignment horizontal="center" vertical="center"/>
      <protection locked="0"/>
    </xf>
    <xf numFmtId="49" fontId="32" fillId="0" borderId="31" xfId="0" applyNumberFormat="1" applyFont="1" applyFill="1" applyBorder="1" applyAlignment="1">
      <alignment horizontal="center" vertical="center"/>
    </xf>
    <xf numFmtId="182" fontId="29" fillId="3" borderId="36" xfId="0" applyNumberFormat="1" applyFont="1" applyFill="1" applyBorder="1" applyAlignment="1" applyProtection="1">
      <alignment horizontal="center" vertical="center"/>
      <protection locked="0"/>
    </xf>
    <xf numFmtId="0" fontId="18" fillId="3" borderId="31" xfId="0" applyFont="1" applyFill="1" applyBorder="1" applyAlignment="1" applyProtection="1">
      <alignment horizontal="center" vertical="center"/>
      <protection locked="0"/>
    </xf>
    <xf numFmtId="1" fontId="18" fillId="3" borderId="50" xfId="0" applyNumberFormat="1" applyFont="1" applyFill="1" applyBorder="1" applyAlignment="1" applyProtection="1">
      <alignment horizontal="center" vertical="center"/>
      <protection locked="0"/>
    </xf>
    <xf numFmtId="1" fontId="18" fillId="3" borderId="50" xfId="3" applyNumberFormat="1" applyFont="1" applyFill="1" applyBorder="1" applyAlignment="1">
      <alignment horizontal="center" vertical="center"/>
    </xf>
    <xf numFmtId="1" fontId="18" fillId="3" borderId="36" xfId="0" applyNumberFormat="1" applyFont="1" applyFill="1" applyBorder="1" applyAlignment="1" applyProtection="1">
      <alignment horizontal="center" vertical="center"/>
      <protection locked="0"/>
    </xf>
    <xf numFmtId="182" fontId="18" fillId="3" borderId="36" xfId="3" applyNumberFormat="1" applyFont="1" applyFill="1" applyBorder="1" applyAlignment="1">
      <alignment horizontal="center" vertical="center"/>
    </xf>
    <xf numFmtId="49" fontId="53" fillId="0" borderId="50" xfId="0" applyNumberFormat="1" applyFont="1" applyFill="1" applyBorder="1" applyAlignment="1">
      <alignment horizontal="center" vertical="center"/>
    </xf>
    <xf numFmtId="2" fontId="18" fillId="3" borderId="31" xfId="0" applyNumberFormat="1" applyFont="1" applyFill="1" applyBorder="1" applyAlignment="1">
      <alignment horizontal="center" vertical="center"/>
    </xf>
    <xf numFmtId="182" fontId="18" fillId="3" borderId="50" xfId="0" applyNumberFormat="1" applyFont="1" applyFill="1" applyBorder="1" applyAlignment="1">
      <alignment horizontal="center" vertical="center" wrapText="1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49" fontId="18" fillId="3" borderId="65" xfId="0" applyNumberFormat="1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vertical="center" wrapText="1"/>
    </xf>
    <xf numFmtId="49" fontId="18" fillId="3" borderId="36" xfId="0" applyNumberFormat="1" applyFont="1" applyFill="1" applyBorder="1" applyAlignment="1">
      <alignment horizontal="center" vertical="center" wrapText="1"/>
    </xf>
    <xf numFmtId="1" fontId="18" fillId="3" borderId="36" xfId="0" applyNumberFormat="1" applyFont="1" applyFill="1" applyBorder="1" applyAlignment="1">
      <alignment horizontal="center" vertical="center" wrapText="1"/>
    </xf>
    <xf numFmtId="182" fontId="50" fillId="3" borderId="37" xfId="0" applyNumberFormat="1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" fontId="18" fillId="0" borderId="31" xfId="3" applyNumberFormat="1" applyFont="1" applyFill="1" applyBorder="1" applyAlignment="1">
      <alignment horizontal="center" vertical="center"/>
    </xf>
    <xf numFmtId="1" fontId="18" fillId="0" borderId="20" xfId="3" applyNumberFormat="1" applyFont="1" applyFill="1" applyBorder="1" applyAlignment="1">
      <alignment horizontal="center" vertical="center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49" fontId="18" fillId="3" borderId="16" xfId="0" applyNumberFormat="1" applyFont="1" applyFill="1" applyBorder="1" applyAlignment="1">
      <alignment horizontal="center" vertical="center"/>
    </xf>
    <xf numFmtId="182" fontId="18" fillId="0" borderId="20" xfId="3" applyNumberFormat="1" applyFont="1" applyFill="1" applyBorder="1" applyAlignment="1">
      <alignment horizontal="center" vertical="center" wrapText="1"/>
    </xf>
    <xf numFmtId="49" fontId="18" fillId="0" borderId="20" xfId="0" applyNumberFormat="1" applyFont="1" applyFill="1" applyBorder="1" applyAlignment="1">
      <alignment horizontal="left"/>
    </xf>
    <xf numFmtId="49" fontId="18" fillId="0" borderId="20" xfId="0" applyNumberFormat="1" applyFont="1" applyFill="1" applyBorder="1" applyAlignment="1" applyProtection="1">
      <alignment horizontal="center" vertical="center" wrapText="1"/>
      <protection locked="0"/>
    </xf>
    <xf numFmtId="182" fontId="50" fillId="0" borderId="16" xfId="0" applyNumberFormat="1" applyFont="1" applyFill="1" applyBorder="1" applyAlignment="1">
      <alignment horizontal="center" vertical="center"/>
    </xf>
    <xf numFmtId="49" fontId="50" fillId="0" borderId="16" xfId="0" applyNumberFormat="1" applyFont="1" applyFill="1" applyBorder="1" applyAlignment="1">
      <alignment horizontal="center" vertical="center"/>
    </xf>
    <xf numFmtId="200" fontId="18" fillId="0" borderId="16" xfId="0" applyNumberFormat="1" applyFont="1" applyFill="1" applyBorder="1" applyAlignment="1">
      <alignment horizontal="left" vertical="top" wrapText="1"/>
    </xf>
    <xf numFmtId="0" fontId="18" fillId="3" borderId="31" xfId="0" applyNumberFormat="1" applyFont="1" applyFill="1" applyBorder="1" applyAlignment="1">
      <alignment horizontal="left" vertical="top" wrapText="1"/>
    </xf>
    <xf numFmtId="49" fontId="47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left" vertical="top" wrapText="1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0" fontId="47" fillId="0" borderId="36" xfId="0" applyFont="1" applyFill="1" applyBorder="1" applyAlignment="1" applyProtection="1">
      <alignment horizontal="center" vertical="center"/>
      <protection locked="0"/>
    </xf>
    <xf numFmtId="49" fontId="18" fillId="0" borderId="68" xfId="0" applyNumberFormat="1" applyFont="1" applyFill="1" applyBorder="1" applyAlignment="1"/>
    <xf numFmtId="178" fontId="18" fillId="0" borderId="15" xfId="0" applyNumberFormat="1" applyFont="1" applyFill="1" applyBorder="1" applyAlignment="1" applyProtection="1">
      <alignment horizontal="center" vertical="center"/>
      <protection locked="0"/>
    </xf>
    <xf numFmtId="2" fontId="18" fillId="0" borderId="15" xfId="0" applyNumberFormat="1" applyFont="1" applyFill="1" applyBorder="1" applyProtection="1">
      <protection locked="0"/>
    </xf>
    <xf numFmtId="0" fontId="18" fillId="0" borderId="53" xfId="0" applyNumberFormat="1" applyFont="1" applyFill="1" applyBorder="1" applyAlignment="1">
      <alignment horizontal="left" vertical="top" wrapText="1"/>
    </xf>
    <xf numFmtId="49" fontId="18" fillId="0" borderId="53" xfId="0" applyNumberFormat="1" applyFont="1" applyFill="1" applyBorder="1" applyAlignment="1">
      <alignment horizontal="center" vertical="center"/>
    </xf>
    <xf numFmtId="49" fontId="47" fillId="0" borderId="53" xfId="0" applyNumberFormat="1" applyFont="1" applyFill="1" applyBorder="1" applyAlignment="1">
      <alignment horizontal="center" vertical="center"/>
    </xf>
    <xf numFmtId="49" fontId="47" fillId="0" borderId="62" xfId="0" applyNumberFormat="1" applyFont="1" applyFill="1" applyBorder="1" applyAlignment="1">
      <alignment horizontal="center" vertical="center"/>
    </xf>
    <xf numFmtId="182" fontId="29" fillId="0" borderId="32" xfId="0" applyNumberFormat="1" applyFont="1" applyFill="1" applyBorder="1" applyAlignment="1">
      <alignment horizontal="center" vertical="center"/>
    </xf>
    <xf numFmtId="49" fontId="18" fillId="0" borderId="31" xfId="0" applyNumberFormat="1" applyFont="1" applyFill="1" applyBorder="1" applyAlignment="1" applyProtection="1">
      <alignment horizontal="center" vertical="center" wrapText="1"/>
      <protection locked="0"/>
    </xf>
    <xf numFmtId="182" fontId="29" fillId="0" borderId="32" xfId="0" applyNumberFormat="1" applyFont="1" applyFill="1" applyBorder="1" applyAlignment="1">
      <alignment horizontal="center" vertical="center" wrapText="1"/>
    </xf>
    <xf numFmtId="182" fontId="29" fillId="0" borderId="53" xfId="0" applyNumberFormat="1" applyFont="1" applyFill="1" applyBorder="1" applyAlignment="1">
      <alignment horizontal="center" vertical="center"/>
    </xf>
    <xf numFmtId="182" fontId="29" fillId="0" borderId="53" xfId="0" applyNumberFormat="1" applyFont="1" applyFill="1" applyBorder="1" applyAlignment="1">
      <alignment horizontal="center" vertical="center" wrapText="1"/>
    </xf>
    <xf numFmtId="182" fontId="29" fillId="0" borderId="62" xfId="0" applyNumberFormat="1" applyFont="1" applyFill="1" applyBorder="1" applyAlignment="1">
      <alignment horizontal="center" vertical="center"/>
    </xf>
    <xf numFmtId="182" fontId="29" fillId="0" borderId="54" xfId="0" applyNumberFormat="1" applyFont="1" applyFill="1" applyBorder="1" applyAlignment="1">
      <alignment horizontal="center" vertical="center"/>
    </xf>
    <xf numFmtId="182" fontId="29" fillId="0" borderId="54" xfId="0" applyNumberFormat="1" applyFont="1" applyFill="1" applyBorder="1" applyAlignment="1">
      <alignment horizontal="center" vertical="center" wrapText="1"/>
    </xf>
    <xf numFmtId="0" fontId="18" fillId="0" borderId="31" xfId="3" applyNumberFormat="1" applyFont="1" applyFill="1" applyBorder="1" applyAlignment="1">
      <alignment horizontal="center" vertical="center"/>
    </xf>
    <xf numFmtId="182" fontId="18" fillId="0" borderId="16" xfId="3" applyNumberFormat="1" applyFont="1" applyFill="1" applyBorder="1" applyAlignment="1">
      <alignment horizontal="center" vertical="center"/>
    </xf>
    <xf numFmtId="182" fontId="18" fillId="0" borderId="53" xfId="3" applyNumberFormat="1" applyFont="1" applyFill="1" applyBorder="1" applyAlignment="1">
      <alignment horizontal="center" vertical="center"/>
    </xf>
    <xf numFmtId="182" fontId="18" fillId="0" borderId="62" xfId="3" applyNumberFormat="1" applyFont="1" applyFill="1" applyBorder="1" applyAlignment="1">
      <alignment horizontal="center" vertical="center"/>
    </xf>
    <xf numFmtId="182" fontId="18" fillId="0" borderId="54" xfId="3" applyNumberFormat="1" applyFont="1" applyFill="1" applyBorder="1" applyAlignment="1">
      <alignment horizontal="center" vertical="center"/>
    </xf>
    <xf numFmtId="182" fontId="48" fillId="0" borderId="50" xfId="0" applyNumberFormat="1" applyFont="1" applyFill="1" applyBorder="1" applyAlignment="1" applyProtection="1">
      <alignment horizontal="center" vertical="center"/>
      <protection locked="0"/>
    </xf>
    <xf numFmtId="200" fontId="18" fillId="0" borderId="2" xfId="0" applyNumberFormat="1" applyFont="1" applyFill="1" applyBorder="1" applyAlignment="1">
      <alignment horizontal="left" vertical="top" wrapText="1"/>
    </xf>
    <xf numFmtId="0" fontId="29" fillId="0" borderId="54" xfId="0" applyFont="1" applyFill="1" applyBorder="1" applyAlignment="1" applyProtection="1">
      <alignment horizontal="center" vertical="center"/>
      <protection locked="0"/>
    </xf>
    <xf numFmtId="2" fontId="18" fillId="0" borderId="26" xfId="0" applyNumberFormat="1" applyFont="1" applyFill="1" applyBorder="1" applyAlignment="1">
      <alignment horizontal="left" vertical="center" wrapText="1"/>
    </xf>
    <xf numFmtId="0" fontId="29" fillId="0" borderId="16" xfId="0" applyFont="1" applyFill="1" applyBorder="1" applyAlignment="1" applyProtection="1">
      <alignment horizontal="center" vertical="center"/>
      <protection locked="0"/>
    </xf>
    <xf numFmtId="200" fontId="18" fillId="0" borderId="54" xfId="0" applyNumberFormat="1" applyFont="1" applyFill="1" applyBorder="1" applyAlignment="1">
      <alignment horizontal="left" vertical="top" wrapText="1"/>
    </xf>
    <xf numFmtId="0" fontId="29" fillId="0" borderId="53" xfId="0" applyFont="1" applyFill="1" applyBorder="1" applyAlignment="1" applyProtection="1">
      <alignment horizontal="center" vertical="center"/>
      <protection locked="0"/>
    </xf>
    <xf numFmtId="49" fontId="18" fillId="3" borderId="58" xfId="0" applyNumberFormat="1" applyFont="1" applyFill="1" applyBorder="1" applyAlignment="1">
      <alignment horizontal="center" vertical="center" wrapText="1"/>
    </xf>
    <xf numFmtId="200" fontId="18" fillId="3" borderId="58" xfId="0" applyNumberFormat="1" applyFont="1" applyFill="1" applyBorder="1" applyAlignment="1">
      <alignment horizontal="left" vertical="top" wrapText="1"/>
    </xf>
    <xf numFmtId="49" fontId="18" fillId="3" borderId="16" xfId="0" applyNumberFormat="1" applyFont="1" applyFill="1" applyBorder="1" applyAlignment="1">
      <alignment horizontal="center" vertical="center" wrapText="1"/>
    </xf>
    <xf numFmtId="182" fontId="18" fillId="3" borderId="27" xfId="0" applyNumberFormat="1" applyFont="1" applyFill="1" applyBorder="1" applyAlignment="1">
      <alignment horizontal="center" vertical="center"/>
    </xf>
    <xf numFmtId="49" fontId="18" fillId="3" borderId="36" xfId="0" applyNumberFormat="1" applyFont="1" applyFill="1" applyBorder="1" applyAlignment="1" applyProtection="1">
      <alignment horizontal="center" vertical="center"/>
      <protection locked="0"/>
    </xf>
    <xf numFmtId="49" fontId="32" fillId="0" borderId="65" xfId="0" applyNumberFormat="1" applyFont="1" applyFill="1" applyBorder="1" applyAlignment="1">
      <alignment horizontal="center" vertical="center"/>
    </xf>
    <xf numFmtId="200" fontId="47" fillId="0" borderId="65" xfId="0" applyNumberFormat="1" applyFont="1" applyFill="1" applyBorder="1" applyAlignment="1">
      <alignment horizontal="left" vertical="top" wrapText="1"/>
    </xf>
    <xf numFmtId="2" fontId="18" fillId="3" borderId="16" xfId="0" applyNumberFormat="1" applyFont="1" applyFill="1" applyBorder="1" applyAlignment="1">
      <alignment horizontal="center" vertical="center" wrapText="1"/>
    </xf>
    <xf numFmtId="2" fontId="18" fillId="0" borderId="31" xfId="0" applyNumberFormat="1" applyFont="1" applyFill="1" applyBorder="1" applyAlignment="1">
      <alignment horizontal="left" vertical="center" wrapText="1"/>
    </xf>
    <xf numFmtId="200" fontId="18" fillId="0" borderId="36" xfId="0" applyNumberFormat="1" applyFont="1" applyFill="1" applyBorder="1" applyAlignment="1">
      <alignment horizontal="left" vertical="top" wrapText="1"/>
    </xf>
    <xf numFmtId="200" fontId="18" fillId="0" borderId="53" xfId="0" applyNumberFormat="1" applyFont="1" applyFill="1" applyBorder="1" applyAlignment="1">
      <alignment horizontal="left" vertical="top" wrapText="1"/>
    </xf>
    <xf numFmtId="1" fontId="18" fillId="0" borderId="53" xfId="0" applyNumberFormat="1" applyFont="1" applyFill="1" applyBorder="1" applyAlignment="1">
      <alignment horizontal="center" vertical="center" wrapText="1"/>
    </xf>
    <xf numFmtId="182" fontId="18" fillId="0" borderId="62" xfId="0" applyNumberFormat="1" applyFont="1" applyFill="1" applyBorder="1" applyAlignment="1">
      <alignment horizontal="center" vertical="center" wrapText="1"/>
    </xf>
    <xf numFmtId="1" fontId="18" fillId="0" borderId="54" xfId="0" applyNumberFormat="1" applyFont="1" applyFill="1" applyBorder="1" applyAlignment="1">
      <alignment horizontal="center" vertical="center" wrapText="1"/>
    </xf>
    <xf numFmtId="182" fontId="18" fillId="0" borderId="54" xfId="0" applyNumberFormat="1" applyFont="1" applyFill="1" applyBorder="1" applyAlignment="1">
      <alignment horizontal="center" vertical="center" wrapText="1"/>
    </xf>
    <xf numFmtId="49" fontId="18" fillId="3" borderId="16" xfId="0" applyNumberFormat="1" applyFont="1" applyFill="1" applyBorder="1" applyAlignment="1">
      <alignment horizontal="left" vertical="top" wrapText="1"/>
    </xf>
    <xf numFmtId="1" fontId="18" fillId="3" borderId="16" xfId="0" applyNumberFormat="1" applyFont="1" applyFill="1" applyBorder="1" applyAlignment="1">
      <alignment horizontal="center" vertical="center"/>
    </xf>
    <xf numFmtId="183" fontId="18" fillId="3" borderId="16" xfId="0" applyNumberFormat="1" applyFont="1" applyFill="1" applyBorder="1" applyAlignment="1">
      <alignment horizontal="center" vertical="center"/>
    </xf>
    <xf numFmtId="49" fontId="18" fillId="3" borderId="61" xfId="0" applyNumberFormat="1" applyFont="1" applyFill="1" applyBorder="1" applyAlignment="1">
      <alignment horizontal="center" vertical="center" wrapText="1"/>
    </xf>
    <xf numFmtId="200" fontId="18" fillId="3" borderId="53" xfId="0" applyNumberFormat="1" applyFont="1" applyFill="1" applyBorder="1" applyAlignment="1">
      <alignment horizontal="left" vertical="top" wrapText="1"/>
    </xf>
    <xf numFmtId="49" fontId="18" fillId="3" borderId="53" xfId="0" applyNumberFormat="1" applyFont="1" applyFill="1" applyBorder="1" applyAlignment="1">
      <alignment horizontal="center" vertical="center" wrapText="1"/>
    </xf>
    <xf numFmtId="0" fontId="18" fillId="3" borderId="53" xfId="0" applyFont="1" applyFill="1" applyBorder="1" applyAlignment="1" applyProtection="1">
      <alignment horizontal="center" vertical="center"/>
      <protection locked="0"/>
    </xf>
    <xf numFmtId="182" fontId="18" fillId="3" borderId="53" xfId="0" applyNumberFormat="1" applyFont="1" applyFill="1" applyBorder="1" applyAlignment="1">
      <alignment horizontal="center" vertical="center"/>
    </xf>
    <xf numFmtId="49" fontId="18" fillId="3" borderId="53" xfId="0" applyNumberFormat="1" applyFont="1" applyFill="1" applyBorder="1" applyAlignment="1" applyProtection="1">
      <alignment horizontal="center" vertical="center"/>
      <protection locked="0"/>
    </xf>
    <xf numFmtId="1" fontId="18" fillId="3" borderId="53" xfId="0" applyNumberFormat="1" applyFont="1" applyFill="1" applyBorder="1" applyAlignment="1">
      <alignment horizontal="center" vertical="center" wrapText="1"/>
    </xf>
    <xf numFmtId="200" fontId="18" fillId="3" borderId="54" xfId="0" applyNumberFormat="1" applyFont="1" applyFill="1" applyBorder="1" applyAlignment="1">
      <alignment horizontal="left" vertical="top" wrapText="1"/>
    </xf>
    <xf numFmtId="49" fontId="18" fillId="3" borderId="54" xfId="0" applyNumberFormat="1" applyFont="1" applyFill="1" applyBorder="1" applyAlignment="1">
      <alignment horizontal="center" vertical="center" wrapText="1"/>
    </xf>
    <xf numFmtId="0" fontId="18" fillId="3" borderId="54" xfId="0" applyFont="1" applyFill="1" applyBorder="1" applyAlignment="1" applyProtection="1">
      <alignment horizontal="center" vertical="center"/>
      <protection locked="0"/>
    </xf>
    <xf numFmtId="182" fontId="18" fillId="3" borderId="54" xfId="0" applyNumberFormat="1" applyFont="1" applyFill="1" applyBorder="1" applyAlignment="1">
      <alignment horizontal="center" vertical="center"/>
    </xf>
    <xf numFmtId="49" fontId="18" fillId="3" borderId="54" xfId="0" applyNumberFormat="1" applyFont="1" applyFill="1" applyBorder="1" applyAlignment="1" applyProtection="1">
      <alignment horizontal="center" vertical="center"/>
      <protection locked="0"/>
    </xf>
    <xf numFmtId="1" fontId="18" fillId="3" borderId="54" xfId="0" applyNumberFormat="1" applyFont="1" applyFill="1" applyBorder="1" applyAlignment="1">
      <alignment horizontal="center" vertical="center" wrapText="1"/>
    </xf>
    <xf numFmtId="2" fontId="18" fillId="3" borderId="53" xfId="0" applyNumberFormat="1" applyFont="1" applyFill="1" applyBorder="1" applyAlignment="1">
      <alignment horizontal="center" vertical="center" wrapText="1"/>
    </xf>
    <xf numFmtId="2" fontId="18" fillId="3" borderId="54" xfId="0" applyNumberFormat="1" applyFont="1" applyFill="1" applyBorder="1" applyAlignment="1">
      <alignment horizontal="center" vertical="center" wrapText="1"/>
    </xf>
    <xf numFmtId="182" fontId="18" fillId="3" borderId="38" xfId="0" applyNumberFormat="1" applyFont="1" applyFill="1" applyBorder="1" applyAlignment="1" applyProtection="1">
      <alignment horizontal="center" vertical="center"/>
      <protection locked="0"/>
    </xf>
    <xf numFmtId="182" fontId="18" fillId="0" borderId="0" xfId="0" applyNumberFormat="1" applyFont="1" applyFill="1" applyBorder="1" applyAlignment="1" applyProtection="1">
      <alignment horizontal="center" vertical="center"/>
      <protection locked="0"/>
    </xf>
    <xf numFmtId="182" fontId="18" fillId="0" borderId="53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Fill="1" applyBorder="1" applyAlignment="1" applyProtection="1">
      <alignment horizontal="center" vertical="center" wrapText="1"/>
      <protection locked="0"/>
    </xf>
    <xf numFmtId="0" fontId="49" fillId="0" borderId="49" xfId="0" applyFont="1" applyFill="1" applyBorder="1" applyAlignment="1" applyProtection="1">
      <alignment horizontal="center" vertical="center" wrapText="1"/>
      <protection locked="0"/>
    </xf>
    <xf numFmtId="0" fontId="18" fillId="0" borderId="6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0" fillId="0" borderId="64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178" fontId="14" fillId="0" borderId="59" xfId="0" applyNumberFormat="1" applyFont="1" applyFill="1" applyBorder="1" applyAlignment="1" applyProtection="1">
      <alignment horizontal="center" vertical="center" wrapText="1"/>
      <protection locked="0"/>
    </xf>
    <xf numFmtId="178" fontId="14" fillId="0" borderId="21" xfId="0" applyNumberFormat="1" applyFont="1" applyFill="1" applyBorder="1" applyAlignment="1" applyProtection="1">
      <alignment horizontal="center" vertical="center" wrapText="1"/>
      <protection locked="0"/>
    </xf>
    <xf numFmtId="178" fontId="13" fillId="0" borderId="59" xfId="0" applyNumberFormat="1" applyFont="1" applyFill="1" applyBorder="1" applyAlignment="1" applyProtection="1">
      <alignment horizontal="center" vertical="center" wrapText="1"/>
      <protection locked="0"/>
    </xf>
    <xf numFmtId="178" fontId="13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15" xfId="0" applyFont="1" applyFill="1" applyBorder="1" applyAlignment="1">
      <alignment horizontal="center" vertical="center" wrapText="1"/>
    </xf>
    <xf numFmtId="0" fontId="18" fillId="0" borderId="50" xfId="0" applyFont="1" applyFill="1" applyBorder="1" applyAlignment="1">
      <alignment horizontal="center" vertical="center" wrapText="1"/>
    </xf>
    <xf numFmtId="0" fontId="18" fillId="0" borderId="51" xfId="0" applyFont="1" applyFill="1" applyBorder="1" applyAlignment="1">
      <alignment horizontal="center" vertical="center" wrapText="1"/>
    </xf>
    <xf numFmtId="0" fontId="12" fillId="0" borderId="101" xfId="2" applyFont="1" applyBorder="1" applyAlignment="1">
      <alignment horizontal="center" vertical="center"/>
    </xf>
    <xf numFmtId="0" fontId="12" fillId="0" borderId="106" xfId="2" applyFont="1" applyBorder="1" applyAlignment="1">
      <alignment horizontal="center" vertical="center"/>
    </xf>
    <xf numFmtId="0" fontId="12" fillId="0" borderId="97" xfId="2" applyFont="1" applyBorder="1" applyAlignment="1">
      <alignment horizontal="center" vertical="center"/>
    </xf>
    <xf numFmtId="0" fontId="12" fillId="0" borderId="110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63" xfId="2" applyFont="1" applyBorder="1" applyAlignment="1">
      <alignment horizontal="center" vertical="center"/>
    </xf>
    <xf numFmtId="0" fontId="12" fillId="0" borderId="64" xfId="2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0" borderId="107" xfId="0" applyFont="1" applyBorder="1" applyAlignment="1">
      <alignment horizontal="center" vertical="center"/>
    </xf>
    <xf numFmtId="0" fontId="13" fillId="0" borderId="108" xfId="0" applyFont="1" applyBorder="1" applyAlignment="1">
      <alignment horizontal="center" vertical="center"/>
    </xf>
    <xf numFmtId="0" fontId="11" fillId="0" borderId="12" xfId="0" applyFont="1" applyBorder="1" applyAlignment="1"/>
    <xf numFmtId="0" fontId="11" fillId="0" borderId="9" xfId="0" applyFont="1" applyBorder="1" applyAlignment="1"/>
    <xf numFmtId="0" fontId="11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1" fillId="0" borderId="12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1" fillId="0" borderId="7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3" fillId="0" borderId="75" xfId="0" applyFont="1" applyBorder="1" applyAlignment="1">
      <alignment horizontal="left" vertical="top" wrapText="1"/>
    </xf>
    <xf numFmtId="0" fontId="13" fillId="0" borderId="44" xfId="0" applyFont="1" applyBorder="1" applyAlignment="1">
      <alignment horizontal="left" vertical="top" wrapText="1"/>
    </xf>
    <xf numFmtId="0" fontId="13" fillId="0" borderId="76" xfId="0" applyFont="1" applyBorder="1" applyAlignment="1">
      <alignment horizontal="left" vertical="top" wrapText="1"/>
    </xf>
    <xf numFmtId="0" fontId="13" fillId="0" borderId="77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3" fillId="0" borderId="78" xfId="0" applyFont="1" applyBorder="1" applyAlignment="1">
      <alignment horizontal="left" vertical="top" wrapText="1"/>
    </xf>
    <xf numFmtId="0" fontId="13" fillId="0" borderId="109" xfId="0" applyFont="1" applyBorder="1" applyAlignment="1">
      <alignment horizontal="left" vertical="top" wrapText="1"/>
    </xf>
    <xf numFmtId="0" fontId="13" fillId="0" borderId="79" xfId="0" applyFont="1" applyBorder="1" applyAlignment="1">
      <alignment horizontal="left" vertical="top" wrapText="1"/>
    </xf>
    <xf numFmtId="0" fontId="0" fillId="0" borderId="75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76" xfId="0" applyBorder="1" applyAlignment="1">
      <alignment horizontal="left" vertical="top" wrapText="1"/>
    </xf>
    <xf numFmtId="0" fontId="0" fillId="0" borderId="7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78" xfId="0" applyBorder="1" applyAlignment="1">
      <alignment horizontal="left" vertical="top" wrapText="1"/>
    </xf>
    <xf numFmtId="0" fontId="0" fillId="0" borderId="109" xfId="0" applyBorder="1" applyAlignment="1">
      <alignment horizontal="left" vertical="top" wrapText="1"/>
    </xf>
    <xf numFmtId="0" fontId="0" fillId="0" borderId="79" xfId="0" applyBorder="1" applyAlignment="1">
      <alignment horizontal="left" vertical="top" wrapText="1"/>
    </xf>
    <xf numFmtId="0" fontId="25" fillId="0" borderId="7" xfId="0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63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03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56" xfId="0" applyFont="1" applyBorder="1" applyAlignment="1">
      <alignment horizontal="left" vertical="center"/>
    </xf>
    <xf numFmtId="0" fontId="12" fillId="0" borderId="55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5" fillId="0" borderId="104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0" fontId="12" fillId="0" borderId="94" xfId="0" applyFont="1" applyFill="1" applyBorder="1" applyAlignment="1">
      <alignment horizontal="left" vertical="center"/>
    </xf>
    <xf numFmtId="0" fontId="12" fillId="0" borderId="96" xfId="0" applyFont="1" applyFill="1" applyBorder="1" applyAlignment="1">
      <alignment horizontal="left" vertical="center"/>
    </xf>
    <xf numFmtId="0" fontId="17" fillId="0" borderId="3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2" fillId="0" borderId="80" xfId="0" applyFont="1" applyBorder="1" applyAlignment="1">
      <alignment horizontal="left" vertical="center"/>
    </xf>
    <xf numFmtId="0" fontId="12" fillId="0" borderId="81" xfId="0" applyFont="1" applyBorder="1" applyAlignment="1">
      <alignment horizontal="left" vertical="center"/>
    </xf>
    <xf numFmtId="0" fontId="12" fillId="0" borderId="82" xfId="0" applyFont="1" applyBorder="1" applyAlignment="1">
      <alignment horizontal="left" vertical="center"/>
    </xf>
    <xf numFmtId="0" fontId="5" fillId="0" borderId="98" xfId="0" applyFont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13" fillId="0" borderId="101" xfId="0" applyFont="1" applyBorder="1" applyAlignment="1">
      <alignment horizontal="center" vertical="center"/>
    </xf>
    <xf numFmtId="0" fontId="13" fillId="0" borderId="102" xfId="0" applyFont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58" xfId="0" applyFont="1" applyBorder="1" applyAlignment="1">
      <alignment horizontal="left" vertical="center"/>
    </xf>
    <xf numFmtId="0" fontId="16" fillId="0" borderId="85" xfId="0" applyFont="1" applyFill="1" applyBorder="1" applyAlignment="1">
      <alignment horizontal="center" vertical="center"/>
    </xf>
    <xf numFmtId="0" fontId="16" fillId="0" borderId="86" xfId="0" applyFont="1" applyFill="1" applyBorder="1" applyAlignment="1">
      <alignment horizontal="center" vertical="center"/>
    </xf>
    <xf numFmtId="0" fontId="16" fillId="0" borderId="87" xfId="0" applyFont="1" applyFill="1" applyBorder="1" applyAlignment="1">
      <alignment horizontal="center" vertical="center"/>
    </xf>
    <xf numFmtId="0" fontId="16" fillId="0" borderId="88" xfId="0" applyFont="1" applyFill="1" applyBorder="1" applyAlignment="1">
      <alignment horizontal="center" vertical="center"/>
    </xf>
    <xf numFmtId="0" fontId="16" fillId="0" borderId="89" xfId="0" applyFont="1" applyFill="1" applyBorder="1" applyAlignment="1">
      <alignment horizontal="center" vertical="center"/>
    </xf>
    <xf numFmtId="0" fontId="16" fillId="0" borderId="90" xfId="0" applyFont="1" applyFill="1" applyBorder="1" applyAlignment="1">
      <alignment horizontal="center" vertical="center"/>
    </xf>
    <xf numFmtId="0" fontId="12" fillId="0" borderId="80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82" xfId="0" applyFont="1" applyFill="1" applyBorder="1" applyAlignment="1">
      <alignment horizontal="center" vertical="center"/>
    </xf>
    <xf numFmtId="0" fontId="12" fillId="0" borderId="80" xfId="0" applyFont="1" applyFill="1" applyBorder="1" applyAlignment="1">
      <alignment horizontal="center" vertical="center"/>
    </xf>
    <xf numFmtId="0" fontId="12" fillId="0" borderId="91" xfId="0" applyFont="1" applyFill="1" applyBorder="1" applyAlignment="1">
      <alignment horizontal="center" vertical="center"/>
    </xf>
    <xf numFmtId="0" fontId="12" fillId="0" borderId="92" xfId="0" applyFont="1" applyFill="1" applyBorder="1" applyAlignment="1">
      <alignment horizontal="center" vertical="center"/>
    </xf>
    <xf numFmtId="0" fontId="12" fillId="0" borderId="93" xfId="0" applyFont="1" applyFill="1" applyBorder="1" applyAlignment="1">
      <alignment horizontal="center" vertical="center"/>
    </xf>
    <xf numFmtId="0" fontId="12" fillId="0" borderId="94" xfId="0" applyFont="1" applyBorder="1" applyAlignment="1">
      <alignment horizontal="left" vertical="center"/>
    </xf>
    <xf numFmtId="0" fontId="12" fillId="0" borderId="95" xfId="0" applyFont="1" applyBorder="1" applyAlignment="1">
      <alignment horizontal="left" vertical="center"/>
    </xf>
    <xf numFmtId="0" fontId="12" fillId="0" borderId="69" xfId="0" applyFont="1" applyBorder="1" applyAlignment="1">
      <alignment horizontal="left" vertical="center"/>
    </xf>
    <xf numFmtId="0" fontId="12" fillId="0" borderId="70" xfId="0" applyFont="1" applyBorder="1" applyAlignment="1">
      <alignment horizontal="left" vertical="center"/>
    </xf>
    <xf numFmtId="0" fontId="12" fillId="0" borderId="71" xfId="0" applyFont="1" applyBorder="1" applyAlignment="1">
      <alignment horizontal="left" vertical="center"/>
    </xf>
    <xf numFmtId="0" fontId="12" fillId="0" borderId="72" xfId="0" applyFont="1" applyBorder="1" applyAlignment="1">
      <alignment horizontal="left" vertical="center"/>
    </xf>
    <xf numFmtId="0" fontId="12" fillId="0" borderId="73" xfId="0" applyFont="1" applyBorder="1" applyAlignment="1">
      <alignment horizontal="left" vertical="center"/>
    </xf>
    <xf numFmtId="0" fontId="12" fillId="0" borderId="74" xfId="0" applyFont="1" applyBorder="1" applyAlignment="1">
      <alignment horizontal="left" vertical="center"/>
    </xf>
    <xf numFmtId="0" fontId="22" fillId="0" borderId="75" xfId="0" applyFont="1" applyBorder="1" applyAlignment="1">
      <alignment horizontal="center" vertical="center" textRotation="90"/>
    </xf>
    <xf numFmtId="0" fontId="22" fillId="0" borderId="76" xfId="0" applyFont="1" applyBorder="1" applyAlignment="1">
      <alignment horizontal="center" vertical="center" textRotation="90"/>
    </xf>
    <xf numFmtId="0" fontId="22" fillId="0" borderId="77" xfId="0" applyFont="1" applyBorder="1" applyAlignment="1">
      <alignment horizontal="center" vertical="center" textRotation="90"/>
    </xf>
    <xf numFmtId="0" fontId="22" fillId="0" borderId="45" xfId="0" applyFont="1" applyBorder="1" applyAlignment="1">
      <alignment horizontal="center" vertical="center" textRotation="90"/>
    </xf>
    <xf numFmtId="0" fontId="22" fillId="0" borderId="78" xfId="0" applyFont="1" applyBorder="1" applyAlignment="1">
      <alignment horizontal="center" vertical="center" textRotation="90"/>
    </xf>
    <xf numFmtId="0" fontId="22" fillId="0" borderId="79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_SPCF" xfId="1"/>
    <cellStyle name="Обычный_ВР_объемыРабот$" xfId="2"/>
    <cellStyle name="Финансовый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wmf"/><Relationship Id="rId1" Type="http://schemas.openxmlformats.org/officeDocument/2006/relationships/image" Target="../media/image2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0</xdr:row>
      <xdr:rowOff>38100</xdr:rowOff>
    </xdr:from>
    <xdr:to>
      <xdr:col>17</xdr:col>
      <xdr:colOff>141057</xdr:colOff>
      <xdr:row>1</xdr:row>
      <xdr:rowOff>9861</xdr:rowOff>
    </xdr:to>
    <xdr:sp macro="CreateCommandPane" textlink="">
      <xdr:nvSpPr>
        <xdr:cNvPr id="35842" name="Rectangle 2"/>
        <xdr:cNvSpPr>
          <a:spLocks noChangeArrowheads="1"/>
        </xdr:cNvSpPr>
      </xdr:nvSpPr>
      <xdr:spPr bwMode="auto">
        <a:xfrm>
          <a:off x="7848600" y="38100"/>
          <a:ext cx="1343025" cy="142875"/>
        </a:xfrm>
        <a:prstGeom prst="rect">
          <a:avLst/>
        </a:prstGeom>
        <a:solidFill>
          <a:srgbClr val="FFCC00"/>
        </a:solidFill>
        <a:ln w="6350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800000"/>
              </a:solidFill>
              <a:latin typeface="Arial Cyr"/>
              <a:cs typeface="Arial Cyr"/>
            </a:rPr>
            <a:t>Восстановить панель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438150</xdr:colOff>
      <xdr:row>8</xdr:row>
      <xdr:rowOff>9525</xdr:rowOff>
    </xdr:from>
    <xdr:to>
      <xdr:col>13</xdr:col>
      <xdr:colOff>742950</xdr:colOff>
      <xdr:row>8</xdr:row>
      <xdr:rowOff>323850</xdr:rowOff>
    </xdr:to>
    <xdr:pic>
      <xdr:nvPicPr>
        <xdr:cNvPr id="96095" name="Picture 4875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30387" y="10739438"/>
          <a:ext cx="3143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7</xdr:row>
      <xdr:rowOff>561975</xdr:rowOff>
    </xdr:from>
    <xdr:to>
      <xdr:col>1</xdr:col>
      <xdr:colOff>28575</xdr:colOff>
      <xdr:row>8</xdr:row>
      <xdr:rowOff>28575</xdr:rowOff>
    </xdr:to>
    <xdr:pic>
      <xdr:nvPicPr>
        <xdr:cNvPr id="96096" name="Picture 4876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5450" y="8181975"/>
          <a:ext cx="46291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6</xdr:row>
      <xdr:rowOff>1781175</xdr:rowOff>
    </xdr:from>
    <xdr:to>
      <xdr:col>1</xdr:col>
      <xdr:colOff>28575</xdr:colOff>
      <xdr:row>7</xdr:row>
      <xdr:rowOff>581025</xdr:rowOff>
    </xdr:to>
    <xdr:pic>
      <xdr:nvPicPr>
        <xdr:cNvPr id="96097" name="Picture 4877"/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652463" y="4614863"/>
          <a:ext cx="23145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18</xdr:row>
      <xdr:rowOff>2400300</xdr:rowOff>
    </xdr:from>
    <xdr:to>
      <xdr:col>13</xdr:col>
      <xdr:colOff>762000</xdr:colOff>
      <xdr:row>19</xdr:row>
      <xdr:rowOff>266700</xdr:rowOff>
    </xdr:to>
    <xdr:pic>
      <xdr:nvPicPr>
        <xdr:cNvPr id="96098" name="Picture 4878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2178367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15</xdr:row>
      <xdr:rowOff>161925</xdr:rowOff>
    </xdr:from>
    <xdr:to>
      <xdr:col>1</xdr:col>
      <xdr:colOff>28575</xdr:colOff>
      <xdr:row>19</xdr:row>
      <xdr:rowOff>19050</xdr:rowOff>
    </xdr:to>
    <xdr:pic>
      <xdr:nvPicPr>
        <xdr:cNvPr id="96099" name="Picture 4879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1930241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18</xdr:row>
      <xdr:rowOff>1895475</xdr:rowOff>
    </xdr:from>
    <xdr:to>
      <xdr:col>14</xdr:col>
      <xdr:colOff>9525</xdr:colOff>
      <xdr:row>19</xdr:row>
      <xdr:rowOff>9525</xdr:rowOff>
    </xdr:to>
    <xdr:pic>
      <xdr:nvPicPr>
        <xdr:cNvPr id="96100" name="Picture 4880"/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2125980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36</xdr:row>
      <xdr:rowOff>1314450</xdr:rowOff>
    </xdr:from>
    <xdr:to>
      <xdr:col>13</xdr:col>
      <xdr:colOff>762000</xdr:colOff>
      <xdr:row>37</xdr:row>
      <xdr:rowOff>266700</xdr:rowOff>
    </xdr:to>
    <xdr:pic>
      <xdr:nvPicPr>
        <xdr:cNvPr id="96101" name="Picture 4881"/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0863" y="32885062"/>
          <a:ext cx="3619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31</xdr:row>
      <xdr:rowOff>1857375</xdr:rowOff>
    </xdr:from>
    <xdr:to>
      <xdr:col>1</xdr:col>
      <xdr:colOff>28575</xdr:colOff>
      <xdr:row>37</xdr:row>
      <xdr:rowOff>19050</xdr:rowOff>
    </xdr:to>
    <xdr:pic>
      <xdr:nvPicPr>
        <xdr:cNvPr id="96102" name="Picture 4882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3040856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36</xdr:row>
      <xdr:rowOff>819150</xdr:rowOff>
    </xdr:from>
    <xdr:to>
      <xdr:col>14</xdr:col>
      <xdr:colOff>9525</xdr:colOff>
      <xdr:row>37</xdr:row>
      <xdr:rowOff>9525</xdr:rowOff>
    </xdr:to>
    <xdr:pic>
      <xdr:nvPicPr>
        <xdr:cNvPr id="96103" name="Picture 4883"/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3236595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61</xdr:row>
      <xdr:rowOff>2095500</xdr:rowOff>
    </xdr:from>
    <xdr:to>
      <xdr:col>13</xdr:col>
      <xdr:colOff>762000</xdr:colOff>
      <xdr:row>62</xdr:row>
      <xdr:rowOff>266700</xdr:rowOff>
    </xdr:to>
    <xdr:pic>
      <xdr:nvPicPr>
        <xdr:cNvPr id="96104" name="Picture 4884"/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4400550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54</xdr:row>
      <xdr:rowOff>152400</xdr:rowOff>
    </xdr:from>
    <xdr:to>
      <xdr:col>1</xdr:col>
      <xdr:colOff>28575</xdr:colOff>
      <xdr:row>62</xdr:row>
      <xdr:rowOff>19050</xdr:rowOff>
    </xdr:to>
    <xdr:pic>
      <xdr:nvPicPr>
        <xdr:cNvPr id="96105" name="Picture 4885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4152423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61</xdr:row>
      <xdr:rowOff>1590675</xdr:rowOff>
    </xdr:from>
    <xdr:to>
      <xdr:col>14</xdr:col>
      <xdr:colOff>9525</xdr:colOff>
      <xdr:row>62</xdr:row>
      <xdr:rowOff>9525</xdr:rowOff>
    </xdr:to>
    <xdr:pic>
      <xdr:nvPicPr>
        <xdr:cNvPr id="96106" name="Picture 4886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434816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76</xdr:row>
      <xdr:rowOff>1295400</xdr:rowOff>
    </xdr:from>
    <xdr:to>
      <xdr:col>13</xdr:col>
      <xdr:colOff>762000</xdr:colOff>
      <xdr:row>77</xdr:row>
      <xdr:rowOff>266700</xdr:rowOff>
    </xdr:to>
    <xdr:pic>
      <xdr:nvPicPr>
        <xdr:cNvPr id="96107" name="Picture 4887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5511165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69</xdr:row>
      <xdr:rowOff>2457450</xdr:rowOff>
    </xdr:from>
    <xdr:to>
      <xdr:col>1</xdr:col>
      <xdr:colOff>28575</xdr:colOff>
      <xdr:row>77</xdr:row>
      <xdr:rowOff>19050</xdr:rowOff>
    </xdr:to>
    <xdr:pic>
      <xdr:nvPicPr>
        <xdr:cNvPr id="96108" name="Picture 4888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5263038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76</xdr:row>
      <xdr:rowOff>790575</xdr:rowOff>
    </xdr:from>
    <xdr:to>
      <xdr:col>14</xdr:col>
      <xdr:colOff>9525</xdr:colOff>
      <xdr:row>77</xdr:row>
      <xdr:rowOff>9525</xdr:rowOff>
    </xdr:to>
    <xdr:pic>
      <xdr:nvPicPr>
        <xdr:cNvPr id="96109" name="Picture 4889"/>
        <xdr:cNvPicPr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5458777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92</xdr:row>
      <xdr:rowOff>1447800</xdr:rowOff>
    </xdr:from>
    <xdr:to>
      <xdr:col>13</xdr:col>
      <xdr:colOff>762000</xdr:colOff>
      <xdr:row>93</xdr:row>
      <xdr:rowOff>266700</xdr:rowOff>
    </xdr:to>
    <xdr:pic>
      <xdr:nvPicPr>
        <xdr:cNvPr id="96110" name="Picture 4890"/>
        <xdr:cNvPicPr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6623685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88</xdr:row>
      <xdr:rowOff>276225</xdr:rowOff>
    </xdr:from>
    <xdr:to>
      <xdr:col>1</xdr:col>
      <xdr:colOff>28575</xdr:colOff>
      <xdr:row>93</xdr:row>
      <xdr:rowOff>19050</xdr:rowOff>
    </xdr:to>
    <xdr:pic>
      <xdr:nvPicPr>
        <xdr:cNvPr id="96111" name="Picture 4891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6375558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92</xdr:row>
      <xdr:rowOff>952500</xdr:rowOff>
    </xdr:from>
    <xdr:to>
      <xdr:col>14</xdr:col>
      <xdr:colOff>9525</xdr:colOff>
      <xdr:row>93</xdr:row>
      <xdr:rowOff>9525</xdr:rowOff>
    </xdr:to>
    <xdr:pic>
      <xdr:nvPicPr>
        <xdr:cNvPr id="96112" name="Picture 4892"/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65722500"/>
          <a:ext cx="67056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109</xdr:row>
      <xdr:rowOff>2324100</xdr:rowOff>
    </xdr:from>
    <xdr:to>
      <xdr:col>13</xdr:col>
      <xdr:colOff>762000</xdr:colOff>
      <xdr:row>110</xdr:row>
      <xdr:rowOff>266700</xdr:rowOff>
    </xdr:to>
    <xdr:pic>
      <xdr:nvPicPr>
        <xdr:cNvPr id="96113" name="Picture 4893"/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7734300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106</xdr:row>
      <xdr:rowOff>238125</xdr:rowOff>
    </xdr:from>
    <xdr:to>
      <xdr:col>1</xdr:col>
      <xdr:colOff>28575</xdr:colOff>
      <xdr:row>110</xdr:row>
      <xdr:rowOff>19050</xdr:rowOff>
    </xdr:to>
    <xdr:pic>
      <xdr:nvPicPr>
        <xdr:cNvPr id="96114" name="Picture 4894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7486173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109</xdr:row>
      <xdr:rowOff>1819275</xdr:rowOff>
    </xdr:from>
    <xdr:to>
      <xdr:col>14</xdr:col>
      <xdr:colOff>9525</xdr:colOff>
      <xdr:row>110</xdr:row>
      <xdr:rowOff>9525</xdr:rowOff>
    </xdr:to>
    <xdr:pic>
      <xdr:nvPicPr>
        <xdr:cNvPr id="96115" name="Picture 4895"/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768191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121</xdr:row>
      <xdr:rowOff>2105025</xdr:rowOff>
    </xdr:from>
    <xdr:to>
      <xdr:col>13</xdr:col>
      <xdr:colOff>762000</xdr:colOff>
      <xdr:row>122</xdr:row>
      <xdr:rowOff>266700</xdr:rowOff>
    </xdr:to>
    <xdr:pic>
      <xdr:nvPicPr>
        <xdr:cNvPr id="96116" name="Picture 4896"/>
        <xdr:cNvPicPr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8845867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119</xdr:row>
      <xdr:rowOff>2057400</xdr:rowOff>
    </xdr:from>
    <xdr:to>
      <xdr:col>1</xdr:col>
      <xdr:colOff>28575</xdr:colOff>
      <xdr:row>122</xdr:row>
      <xdr:rowOff>19050</xdr:rowOff>
    </xdr:to>
    <xdr:pic>
      <xdr:nvPicPr>
        <xdr:cNvPr id="96117" name="Picture 4897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8597741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121</xdr:row>
      <xdr:rowOff>1609725</xdr:rowOff>
    </xdr:from>
    <xdr:to>
      <xdr:col>14</xdr:col>
      <xdr:colOff>9525</xdr:colOff>
      <xdr:row>122</xdr:row>
      <xdr:rowOff>19050</xdr:rowOff>
    </xdr:to>
    <xdr:pic>
      <xdr:nvPicPr>
        <xdr:cNvPr id="96118" name="Picture 4898"/>
        <xdr:cNvPicPr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879443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145</xdr:row>
      <xdr:rowOff>962025</xdr:rowOff>
    </xdr:from>
    <xdr:to>
      <xdr:col>13</xdr:col>
      <xdr:colOff>762000</xdr:colOff>
      <xdr:row>146</xdr:row>
      <xdr:rowOff>266700</xdr:rowOff>
    </xdr:to>
    <xdr:pic>
      <xdr:nvPicPr>
        <xdr:cNvPr id="96119" name="Picture 4899"/>
        <xdr:cNvPicPr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9956482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135</xdr:row>
      <xdr:rowOff>247650</xdr:rowOff>
    </xdr:from>
    <xdr:to>
      <xdr:col>1</xdr:col>
      <xdr:colOff>28575</xdr:colOff>
      <xdr:row>146</xdr:row>
      <xdr:rowOff>19050</xdr:rowOff>
    </xdr:to>
    <xdr:pic>
      <xdr:nvPicPr>
        <xdr:cNvPr id="96120" name="Picture 4900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9708356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145</xdr:row>
      <xdr:rowOff>466725</xdr:rowOff>
    </xdr:from>
    <xdr:to>
      <xdr:col>14</xdr:col>
      <xdr:colOff>9525</xdr:colOff>
      <xdr:row>146</xdr:row>
      <xdr:rowOff>19050</xdr:rowOff>
    </xdr:to>
    <xdr:pic>
      <xdr:nvPicPr>
        <xdr:cNvPr id="96121" name="Picture 4901"/>
        <xdr:cNvPicPr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9905047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7</xdr:row>
      <xdr:rowOff>3514725</xdr:rowOff>
    </xdr:from>
    <xdr:to>
      <xdr:col>14</xdr:col>
      <xdr:colOff>9525</xdr:colOff>
      <xdr:row>8</xdr:row>
      <xdr:rowOff>19050</xdr:rowOff>
    </xdr:to>
    <xdr:pic>
      <xdr:nvPicPr>
        <xdr:cNvPr id="96122" name="Picture 4902"/>
        <xdr:cNvPicPr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9077325"/>
          <a:ext cx="6705600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9525</xdr:colOff>
      <xdr:row>111</xdr:row>
      <xdr:rowOff>95250</xdr:rowOff>
    </xdr:from>
    <xdr:to>
      <xdr:col>48</xdr:col>
      <xdr:colOff>257175</xdr:colOff>
      <xdr:row>168</xdr:row>
      <xdr:rowOff>104775</xdr:rowOff>
    </xdr:to>
    <xdr:pic>
      <xdr:nvPicPr>
        <xdr:cNvPr id="96382" name="Picture 319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6350912" y="23074313"/>
          <a:ext cx="94011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38100</xdr:rowOff>
    </xdr:from>
    <xdr:to>
      <xdr:col>3</xdr:col>
      <xdr:colOff>133383</xdr:colOff>
      <xdr:row>0</xdr:row>
      <xdr:rowOff>180975</xdr:rowOff>
    </xdr:to>
    <xdr:sp macro="CreateCommandPane" textlink="">
      <xdr:nvSpPr>
        <xdr:cNvPr id="18575" name="Rectangle 3215"/>
        <xdr:cNvSpPr>
          <a:spLocks noChangeArrowheads="1"/>
        </xdr:cNvSpPr>
      </xdr:nvSpPr>
      <xdr:spPr bwMode="auto">
        <a:xfrm>
          <a:off x="76200" y="38100"/>
          <a:ext cx="1571625" cy="142875"/>
        </a:xfrm>
        <a:prstGeom prst="rect">
          <a:avLst/>
        </a:prstGeom>
        <a:solidFill>
          <a:srgbClr val="FFCC00"/>
        </a:solidFill>
        <a:ln w="6350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800000"/>
              </a:solidFill>
              <a:latin typeface="Arial Cyr"/>
              <a:cs typeface="Arial Cyr"/>
            </a:rPr>
            <a:t>Восстановить панель</a:t>
          </a:r>
        </a:p>
      </xdr:txBody>
    </xdr:sp>
    <xdr:clientData/>
  </xdr:twoCellAnchor>
  <xdr:twoCellAnchor>
    <xdr:from>
      <xdr:col>19</xdr:col>
      <xdr:colOff>371475</xdr:colOff>
      <xdr:row>6</xdr:row>
      <xdr:rowOff>38100</xdr:rowOff>
    </xdr:from>
    <xdr:to>
      <xdr:col>19</xdr:col>
      <xdr:colOff>619125</xdr:colOff>
      <xdr:row>7</xdr:row>
      <xdr:rowOff>104775</xdr:rowOff>
    </xdr:to>
    <xdr:pic>
      <xdr:nvPicPr>
        <xdr:cNvPr id="96384" name="Picture 321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1162050"/>
          <a:ext cx="2476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6</xdr:row>
      <xdr:rowOff>123825</xdr:rowOff>
    </xdr:from>
    <xdr:to>
      <xdr:col>8</xdr:col>
      <xdr:colOff>371475</xdr:colOff>
      <xdr:row>8</xdr:row>
      <xdr:rowOff>47625</xdr:rowOff>
    </xdr:to>
    <xdr:pic>
      <xdr:nvPicPr>
        <xdr:cNvPr id="96385" name="Picture 3219" descr="logo copy_c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1247775"/>
          <a:ext cx="3524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27</xdr:row>
      <xdr:rowOff>123825</xdr:rowOff>
    </xdr:from>
    <xdr:to>
      <xdr:col>8</xdr:col>
      <xdr:colOff>400050</xdr:colOff>
      <xdr:row>29</xdr:row>
      <xdr:rowOff>76200</xdr:rowOff>
    </xdr:to>
    <xdr:pic>
      <xdr:nvPicPr>
        <xdr:cNvPr id="96386" name="Picture 3220" descr="logo copy_c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4895850"/>
          <a:ext cx="3810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l01-gtptmn\&#1064;&#1072;&#1073;&#1083;&#1086;&#1085;&#1099;_Office\Documents%20and%20Settings\KomarovAI\&#1056;&#1072;&#1073;&#1086;&#1095;&#1080;&#1081;%20&#1089;&#1090;&#1086;&#1083;\&#1050;&#1085;&#1080;&#1075;&#10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_&#1055;&#1047;&#1057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"/>
      <sheetName val="Прил 6.51-Упр рас"/>
      <sheetName val="ФЗП"/>
      <sheetName val="Книга1"/>
      <sheetName val="#ССЫЛКА"/>
      <sheetName val="прочие "/>
      <sheetName val="Ли啁䉓C"/>
      <sheetName val="_x0004__x0002__x0000_ਸ"/>
      <sheetName val="氼_x0000_"/>
      <sheetName val="Материалы"/>
      <sheetName val="_x0000__x0000__x0000_褠(Опубликоват&amp;ь..._x0000_T_x0000__xde68_ュ_x0001__x0000__x0001__x0000_"/>
      <sheetName val="год.отчетность 2008"/>
      <sheetName val="_x0000_Ť_x0000_Ũ_x0000__x0000__x0000__x0000_ࢰ_x0000_ࢰᏬި_x0000_㿭_x0000__x0018__x0000_ᐐ_x0001__x0000_ި_x0000__x0000__x0000__x0000_ࢰ詀ㅡ"/>
      <sheetName val="GalDBTblFld_MainTable_Schet"/>
      <sheetName val="6.7.3_ТН"/>
      <sheetName val="???褠(Опубликоват&amp;ь...?T?_xde68_ュ_x0001_?_x0001_?"/>
      <sheetName val="?Ť?Ũ????ࢰ?ࢰᏬި?㿭?_x0018_?ᐐ_x0001_?ި????ࢰ詀ㅡ"/>
      <sheetName val="ArabicNafitha Enhanced Arabic C"/>
      <sheetName val="褠(Опубликоват&amp;ь..._x0000_T_x0000__xde68_ュ_x0001__x0000__x0001__x0000_褈_x0001_"/>
      <sheetName val="Ж.Дом_гор.Олекм 2010"/>
      <sheetName val="褠(Опубликоват&amp;ь...?T?_xde68_ュ_x0001_?_x0001_?褈_x0001_"/>
      <sheetName val="2011 факт"/>
      <sheetName val="Восстановл_Лист4"/>
      <sheetName val="_x0000__x0000__x0000_褠(Опубликоват&amp;ь..._x0000_T_x0000_�ュ_x0001__x0000__x0001__x0000_"/>
      <sheetName val="???褠(Опубликоват&amp;ь...?T?�ュ_x0001_?_x0001_?"/>
      <sheetName val="褠(Опубликоват&amp;ь..._x0000_T_x0000_�ュ_x0001__x0000__x0001__x0000_褈_x0001_"/>
      <sheetName val="褠(Опубликоват&amp;ь...?T?�ュ_x0001_?_x0001_?褈_x0001_"/>
      <sheetName val="?"/>
      <sheetName val="6_11_1  сторонние"/>
      <sheetName val="Восстановл_Лист12"/>
      <sheetName val="Восстановл_Лист18"/>
      <sheetName val="Восстановл_Лист10"/>
      <sheetName val="Восстановл_Лист6"/>
      <sheetName val="Восстановл_Лист14"/>
      <sheetName val="Восстановл_Лист20"/>
      <sheetName val="Восстановл_Лист16"/>
      <sheetName val="Восстановл_Лист5"/>
      <sheetName val="Восстановл_Лист13"/>
      <sheetName val="Восстановл_Лист19"/>
      <sheetName val="Восстановл_Лист11"/>
      <sheetName val="Восстановл_Лист7"/>
      <sheetName val="Восстановл_Лист15"/>
      <sheetName val="Восстановл_Лист21"/>
      <sheetName val="Восстановл_Лист17"/>
      <sheetName val="४婢_xffff_堀삁豈_xffff__x0000__x0000_܀耀_x0000_쀀_x0000_䘀_x0000__x0000__x0000__x0000__x0000__x0000__x0000__x0000_삁豈_xffff_삅豈_xffff_"/>
      <sheetName val="ПЗС"/>
      <sheetName val="Лист визирования"/>
      <sheetName val="_x0000_"/>
      <sheetName val="氼?"/>
      <sheetName val="Цена"/>
      <sheetName val="Product"/>
      <sheetName val="Обновление"/>
      <sheetName val="Коэфф1."/>
      <sheetName val="График"/>
      <sheetName val="Суточная"/>
      <sheetName val="Смета"/>
      <sheetName val="топография"/>
      <sheetName val="Подрядчики"/>
      <sheetName val="2002(v2)"/>
      <sheetName val="2002_v2_"/>
      <sheetName val="медведицкая"/>
      <sheetName val="медведицкая (2)"/>
      <sheetName val="Сумма прописью"/>
      <sheetName val="132-155"/>
      <sheetName val="зай"/>
      <sheetName val="сводная рд"/>
      <sheetName val="волгард"/>
      <sheetName val="706-793вл"/>
      <sheetName val="626-706вл"/>
      <sheetName val="прим-рд"/>
      <sheetName val="нпс2рд"/>
      <sheetName val="нпс3рд "/>
      <sheetName val="нпс кириши рд"/>
      <sheetName val="73-94рд"/>
      <sheetName val="538-626"/>
      <sheetName val="515-538рд"/>
      <sheetName val="дружба"/>
      <sheetName val="яросл2"/>
      <sheetName val="155-253"/>
      <sheetName val="обследование"/>
      <sheetName val="новгород"/>
      <sheetName val="515-538"/>
      <sheetName val="НПС-2"/>
      <sheetName val="НПС-3 "/>
      <sheetName val="которосль"/>
      <sheetName val="улейма"/>
      <sheetName val="ярославль"/>
      <sheetName val="уфа"/>
      <sheetName val="Шкаф"/>
      <sheetName val="Прайс лист"/>
      <sheetName val="Пример расчета"/>
      <sheetName val="SP173И1"/>
      <sheetName val="SP173И2"/>
      <sheetName val="SP173И3"/>
      <sheetName val="SP353СИ1"/>
      <sheetName val="SP353СИ2"/>
      <sheetName val="SP353ЦИ1"/>
      <sheetName val="SP353ЦИ2"/>
      <sheetName val="Данные для расчёта сметы"/>
      <sheetName val="氼"/>
      <sheetName val="_x0004__x0002_?ਸ"/>
      <sheetName val="М_1"/>
      <sheetName val="_x0000__x0001__x0000__x0003__x0000_4_x0000_¼_x0000__x0001__x0000__x0000__x0000__x0000__x0000__x0000__x0000__x0000__x0000__x0000_"/>
      <sheetName val="перекачка НПЗ Т-5"/>
      <sheetName val="Приложение 4"/>
      <sheetName val="Приложение 5"/>
      <sheetName val="Приложение 6"/>
      <sheetName val="УЭРВ-100 МЭПК, клапан"/>
      <sheetName val="Приложение РЭН"/>
      <sheetName val="ПОДПИСИ"/>
      <sheetName val="медведицкая_(2)"/>
      <sheetName val="Сумма_прописью"/>
      <sheetName val="сводная_рд"/>
      <sheetName val="нпс3рд_"/>
      <sheetName val="нпс_кириши_рд"/>
      <sheetName val="НПС-3_"/>
      <sheetName val="Список прогонов за месяц"/>
      <sheetName val="Documents and Settings\Halilova"/>
      <sheetName val="ТИТУЛ"/>
      <sheetName val="ОБЩЕСТВА"/>
      <sheetName val="Приморск БДС"/>
      <sheetName val="ААС М.Вешак (259,8)_x0000__x0000_İŹ_x0000__x0004__x0000__x0000__x0000__x0000__x0000__x0000_"/>
      <sheetName val="ААС М.Вешак (259,8)??İŹ?_x0004_??????"/>
      <sheetName val="Проверка и настройка параметров"/>
      <sheetName val="AccountingQtyTotal"/>
      <sheetName val="ПДР"/>
      <sheetName val="1.1"/>
      <sheetName val="Смета 1"/>
      <sheetName val="Зап-3- СЦБ"/>
      <sheetName val="Смета2 проект. раб."/>
      <sheetName val="смета 2 проект. работы"/>
      <sheetName val="Кредиты"/>
      <sheetName val="1.2 геол"/>
      <sheetName val="5 П"/>
      <sheetName val="3 акт П"/>
      <sheetName val="1.1 геод"/>
      <sheetName val="MAIN_PARAMETERS"/>
      <sheetName val="4сд"/>
      <sheetName val="2сд"/>
      <sheetName val="7сд"/>
      <sheetName val="Коэф"/>
      <sheetName val="вариант"/>
      <sheetName val="DMTR_BP_03"/>
      <sheetName val="Calc"/>
      <sheetName val="ID"/>
      <sheetName val="Таблица 2"/>
      <sheetName val="свод"/>
      <sheetName val="Титул1"/>
      <sheetName val="Титул2"/>
      <sheetName val="Титул3"/>
      <sheetName val="Упр"/>
      <sheetName val="Таблица 3"/>
      <sheetName val="РП"/>
      <sheetName val="СС"/>
      <sheetName val="информация"/>
      <sheetName val="Summary"/>
      <sheetName val="К.рын"/>
      <sheetName val="Tabelle3"/>
      <sheetName val="93-110"/>
      <sheetName val="Сводная"/>
      <sheetName val="Восстановл_Лист44"/>
      <sheetName val="Восстановл_Лист45"/>
      <sheetName val="Восстановл_Лист9"/>
      <sheetName val="Восстановл_Лист46"/>
      <sheetName val="Восстановл_Лист49"/>
      <sheetName val="Расчет зарплаты"/>
      <sheetName val="Табл38-7"/>
      <sheetName val="ЭХЗ"/>
      <sheetName val="№5 СУБ Инж защ"/>
      <sheetName val="13.1"/>
      <sheetName val="Харьяга-индига(ПР-Трасса+реки)"/>
      <sheetName val="к.84-к.83"/>
      <sheetName val="свод 2"/>
      <sheetName val="HP и оргтехника"/>
      <sheetName val="свод 3"/>
      <sheetName val="СметаСводная Колпино"/>
      <sheetName val="СметаСводная"/>
      <sheetName val="См3 СЦБ-зап"/>
      <sheetName val="ИГ1"/>
      <sheetName val="СметаСводная снег"/>
      <sheetName val="см8"/>
      <sheetName val="Смета 7"/>
      <sheetName val="Смета 1свод"/>
      <sheetName val="шаблон"/>
      <sheetName val="Ф-1"/>
      <sheetName val="Справочники"/>
      <sheetName val="Разработка проекта"/>
      <sheetName val="RSOILBAL"/>
      <sheetName val="СМЕТА проект"/>
      <sheetName val="5ОборРабМест(HP)"/>
      <sheetName val="КП с изм.2"/>
      <sheetName val="КП"/>
      <sheetName val="Лист2_x0000_"/>
      <sheetName val="БАЛАНС"/>
      <sheetName val="Распределение"/>
      <sheetName val="Гр5(о)"/>
      <sheetName val="Прил_6_51-Упр_рас"/>
      <sheetName val="【Ǆ【ㄨヶ㞄　L【ㄨヶ_x0008__x0000__x0008__x0000_က_x0000__x0000_Ҍ_x0000_ރ_x0001__x0000__x0004__x0000__x0002__x0000__x0004__x0000_ "/>
      <sheetName val="6.12"/>
      <sheetName val="6.7"/>
      <sheetName val="6.5.1_ТНП"/>
      <sheetName val="6.22"/>
      <sheetName val="6.14_КР"/>
      <sheetName val="6.14"/>
      <sheetName val="6.3.1"/>
      <sheetName val="ПРОГНОЗ_1"/>
      <sheetName val="6_12"/>
      <sheetName val="6_7"/>
      <sheetName val="6_5_1_ТНП"/>
      <sheetName val="6_22"/>
      <sheetName val="6_14_КР"/>
      <sheetName val="6_14"/>
      <sheetName val="6_3_1"/>
      <sheetName val="8.14 КР (списание)ОПСТИКР"/>
      <sheetName val="ДДС (Форма №3)"/>
      <sheetName val="7_1_6_56"/>
      <sheetName val="7_1_6_57"/>
      <sheetName val="_x0000_&amp;_x0000_'_x0000_(_x0000_)_x0000_*_x0000_+_x0000_,_x0000_-_x0000_._x0000_/_x0000_0_x0000_1_x0000_2_x0000_3_x0000_4_x0000_"/>
      <sheetName val="AS_____________________________"/>
      <sheetName val="?&amp;?'?(?)?*?+?,?-?.?/?0?1?2?3?4?"/>
      <sheetName val="Форма 2.5к-Украина"/>
      <sheetName val="Сп"/>
      <sheetName val="Коэф КВ"/>
      <sheetName val="КС2 ВСТО "/>
      <sheetName val="Итог Лена"/>
      <sheetName val="Итого М. (2)"/>
      <sheetName val="условия"/>
      <sheetName val="Итог Антиснег11.01"/>
      <sheetName val="Входные параметрыВНГДУ"/>
      <sheetName val="1"/>
      <sheetName val="SakhNIPI5"/>
      <sheetName val="эл.химз."/>
      <sheetName val="гидрология"/>
      <sheetName val="Амур ДОН"/>
      <sheetName val="топо"/>
      <sheetName val="ПИР"/>
      <sheetName val="Лист опроса"/>
      <sheetName val="СметаСводная 1 оч"/>
      <sheetName val="х"/>
      <sheetName val="СметаСводная павильон"/>
      <sheetName val="прод_зап8 (2)"/>
      <sheetName val="540"/>
      <sheetName val="853 (корр) (2)"/>
      <sheetName val="Объемы работ по ПВ"/>
      <sheetName val="ПДР ООО &quot;Юкос ФБЦ&quot;"/>
      <sheetName val="начало"/>
      <sheetName val="2.2 "/>
      <sheetName val="ВЛ-10"/>
      <sheetName val="Исх. данные"/>
      <sheetName val="sapactivexlhiddensheet"/>
      <sheetName val="Lim"/>
      <sheetName val="Хар_"/>
      <sheetName val="С1_"/>
      <sheetName val="Ачинский НПЗ"/>
      <sheetName val="Бюджет"/>
      <sheetName val="СЦПР-90-38"/>
      <sheetName val="Свод стоимость"/>
      <sheetName val="Свод объем"/>
      <sheetName val="Приложение 2"/>
      <sheetName val="1.1."/>
      <sheetName val="СметаСводная Рыб"/>
      <sheetName val="Data"/>
      <sheetName val="_x0000__x0003__x0000__x0004__x0000__x0000__x0000__x0000__x0000__xdcb0_͒_x0000__x0000__x0001__x0000__x0000__x0000__x0000__x0000__x0000_"/>
      <sheetName val="_x0000__x0003__x0000__x0004__x0000__x0000__x0000__x0000__x0000_�͒_x0000__x0000__x0001__x0000__x0000__x0000__x0000__x0000__x0000_"/>
      <sheetName val="?_x0003_?_x0004_?????_xdcb0_͒??_x0001_??????"/>
      <sheetName val="?_x0003_?_x0004_?????�͒??_x0001_??????"/>
      <sheetName val="४婢_xffff_堀삁豈_xffff_??܀耀?쀀?䘀????????삁豈_xffff_삅豈_xffff_"/>
      <sheetName val="grafyleden-duben"/>
      <sheetName val="Const"/>
      <sheetName val="Реестр Диаг НПС ВНП"/>
      <sheetName val="_x0004__x0002_"/>
      <sheetName val="氼_"/>
    </sheetNames>
    <sheetDataSet>
      <sheetData sheetId="0"/>
      <sheetData sheetId="1" refreshError="1">
        <row r="1">
          <cell r="A1" t="str">
            <v>Иван</v>
          </cell>
        </row>
        <row r="2">
          <cell r="A2" t="str">
            <v>Виктор</v>
          </cell>
        </row>
        <row r="3">
          <cell r="A3" t="str">
            <v>яыпо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 refreshError="1"/>
      <sheetData sheetId="110" refreshError="1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СпецДляЦуп"/>
      <sheetName val="ПЗС"/>
      <sheetName val="ГрМТР"/>
      <sheetName val="КодыЗакПод"/>
      <sheetName val="Спр"/>
      <sheetName val="Спр (2)"/>
      <sheetName val="Штамп"/>
      <sheetName val="Спр_ста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81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81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R111"/>
  <sheetViews>
    <sheetView zoomScale="85" workbookViewId="0">
      <selection activeCell="N2" sqref="N2"/>
    </sheetView>
  </sheetViews>
  <sheetFormatPr defaultRowHeight="12.75"/>
  <cols>
    <col min="1" max="1" width="5.7109375" customWidth="1"/>
    <col min="2" max="4" width="2.7109375" customWidth="1"/>
    <col min="13" max="13" width="12.28515625" customWidth="1"/>
  </cols>
  <sheetData>
    <row r="1" spans="1:18">
      <c r="A1" s="15"/>
      <c r="B1" t="s">
        <v>101</v>
      </c>
    </row>
    <row r="2" spans="1:18">
      <c r="A2" s="2"/>
      <c r="B2" t="s">
        <v>102</v>
      </c>
      <c r="R2" t="s">
        <v>74</v>
      </c>
    </row>
    <row r="3" spans="1:18">
      <c r="A3" s="2"/>
      <c r="B3" t="s">
        <v>89</v>
      </c>
    </row>
    <row r="4" spans="1:18">
      <c r="B4" t="s">
        <v>90</v>
      </c>
    </row>
    <row r="6" spans="1:18">
      <c r="B6" t="s">
        <v>50</v>
      </c>
    </row>
    <row r="7" spans="1:18">
      <c r="C7" t="s">
        <v>70</v>
      </c>
    </row>
    <row r="8" spans="1:18">
      <c r="C8" t="s">
        <v>57</v>
      </c>
    </row>
    <row r="10" spans="1:18">
      <c r="B10" t="s">
        <v>56</v>
      </c>
    </row>
    <row r="11" spans="1:18">
      <c r="C11" t="s">
        <v>85</v>
      </c>
    </row>
    <row r="12" spans="1:18">
      <c r="C12" t="s">
        <v>84</v>
      </c>
    </row>
    <row r="13" spans="1:18">
      <c r="B13" t="s">
        <v>68</v>
      </c>
    </row>
    <row r="16" spans="1:18">
      <c r="A16" s="15"/>
      <c r="B16" t="s">
        <v>103</v>
      </c>
    </row>
    <row r="17" spans="2:4">
      <c r="B17" t="s">
        <v>104</v>
      </c>
    </row>
    <row r="18" spans="2:4">
      <c r="B18" t="s">
        <v>105</v>
      </c>
    </row>
    <row r="19" spans="2:4">
      <c r="B19" t="s">
        <v>107</v>
      </c>
    </row>
    <row r="20" spans="2:4">
      <c r="B20" t="s">
        <v>106</v>
      </c>
    </row>
    <row r="21" spans="2:4">
      <c r="B21" t="s">
        <v>108</v>
      </c>
    </row>
    <row r="22" spans="2:4">
      <c r="B22" t="s">
        <v>109</v>
      </c>
    </row>
    <row r="23" spans="2:4">
      <c r="B23" s="17" t="s">
        <v>81</v>
      </c>
    </row>
    <row r="24" spans="2:4">
      <c r="B24" t="s">
        <v>48</v>
      </c>
    </row>
    <row r="26" spans="2:4">
      <c r="B26" t="s">
        <v>51</v>
      </c>
    </row>
    <row r="27" spans="2:4">
      <c r="B27" t="s">
        <v>52</v>
      </c>
    </row>
    <row r="28" spans="2:4">
      <c r="B28" t="s">
        <v>88</v>
      </c>
    </row>
    <row r="30" spans="2:4">
      <c r="B30" t="s">
        <v>58</v>
      </c>
    </row>
    <row r="31" spans="2:4">
      <c r="C31" t="s">
        <v>59</v>
      </c>
    </row>
    <row r="32" spans="2:4">
      <c r="D32" t="s">
        <v>60</v>
      </c>
    </row>
    <row r="33" spans="1:5">
      <c r="E33" t="s">
        <v>62</v>
      </c>
    </row>
    <row r="34" spans="1:5">
      <c r="E34" t="s">
        <v>86</v>
      </c>
    </row>
    <row r="35" spans="1:5">
      <c r="E35" t="s">
        <v>87</v>
      </c>
    </row>
    <row r="36" spans="1:5">
      <c r="A36" s="2"/>
      <c r="D36" t="s">
        <v>61</v>
      </c>
    </row>
    <row r="37" spans="1:5">
      <c r="E37" t="s">
        <v>82</v>
      </c>
    </row>
    <row r="38" spans="1:5">
      <c r="E38" t="s">
        <v>66</v>
      </c>
    </row>
    <row r="39" spans="1:5">
      <c r="E39" t="s">
        <v>63</v>
      </c>
    </row>
    <row r="40" spans="1:5">
      <c r="E40" t="s">
        <v>64</v>
      </c>
    </row>
    <row r="41" spans="1:5">
      <c r="E41" t="s">
        <v>65</v>
      </c>
    </row>
    <row r="42" spans="1:5">
      <c r="E42" t="s">
        <v>69</v>
      </c>
    </row>
    <row r="43" spans="1:5">
      <c r="E43" t="s">
        <v>67</v>
      </c>
    </row>
    <row r="45" spans="1:5">
      <c r="B45" t="s">
        <v>71</v>
      </c>
    </row>
    <row r="46" spans="1:5">
      <c r="B46" t="s">
        <v>72</v>
      </c>
    </row>
    <row r="47" spans="1:5">
      <c r="C47" t="s">
        <v>75</v>
      </c>
    </row>
    <row r="48" spans="1:5">
      <c r="C48" t="s">
        <v>76</v>
      </c>
    </row>
    <row r="49" spans="2:3">
      <c r="C49" t="s">
        <v>83</v>
      </c>
    </row>
    <row r="50" spans="2:3">
      <c r="C50" t="s">
        <v>77</v>
      </c>
    </row>
    <row r="51" spans="2:3">
      <c r="C51" t="s">
        <v>73</v>
      </c>
    </row>
    <row r="53" spans="2:3">
      <c r="B53" t="s">
        <v>78</v>
      </c>
    </row>
    <row r="54" spans="2:3">
      <c r="B54" t="s">
        <v>79</v>
      </c>
    </row>
    <row r="55" spans="2:3">
      <c r="B55" t="s">
        <v>49</v>
      </c>
    </row>
    <row r="56" spans="2:3">
      <c r="B56" t="s">
        <v>80</v>
      </c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customSheetViews>
    <customSheetView guid="{A1A80B5C-2CE2-4C99-93FF-BF9E8876EAD0}" scale="85" showRuler="0">
      <selection activeCell="A2" sqref="A2"/>
      <pageMargins left="0.78740157480314965" right="0.35433070866141736" top="0.62992125984251968" bottom="0.6692913385826772" header="0.51181102362204722" footer="0.51181102362204722"/>
      <pageSetup paperSize="9" scale="90" orientation="portrait" r:id="rId1"/>
      <headerFooter alignWithMargins="0"/>
    </customSheetView>
  </customSheetViews>
  <phoneticPr fontId="3" type="noConversion"/>
  <pageMargins left="0.78740157480314965" right="0.35433070866141736" top="0.62992125984251968" bottom="0.6692913385826772" header="0.51181102362204722" footer="0.51181102362204722"/>
  <pageSetup paperSize="9" scale="9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IT175"/>
  <sheetViews>
    <sheetView tabSelected="1" view="pageBreakPreview" topLeftCell="A52" zoomScaleNormal="70" zoomScaleSheetLayoutView="100" workbookViewId="0">
      <selection activeCell="L56" sqref="L56:L60"/>
    </sheetView>
  </sheetViews>
  <sheetFormatPr defaultRowHeight="15.75"/>
  <cols>
    <col min="1" max="1" width="12.7109375" style="152" customWidth="1"/>
    <col min="2" max="2" width="8.42578125" style="164" customWidth="1"/>
    <col min="3" max="3" width="64.7109375" style="161" customWidth="1"/>
    <col min="4" max="4" width="16.42578125" style="161" customWidth="1"/>
    <col min="5" max="5" width="15.5703125" style="161" customWidth="1"/>
    <col min="6" max="6" width="19.7109375" style="161" customWidth="1"/>
    <col min="7" max="7" width="9.7109375" style="164" customWidth="1"/>
    <col min="8" max="8" width="11.7109375" style="161" customWidth="1"/>
    <col min="9" max="9" width="9.7109375" style="161" customWidth="1"/>
    <col min="10" max="10" width="11.7109375" style="161" customWidth="1"/>
    <col min="11" max="11" width="9.7109375" style="161" customWidth="1"/>
    <col min="12" max="12" width="11.5703125" style="161" customWidth="1"/>
    <col min="13" max="13" width="9.7109375" style="161" customWidth="1"/>
    <col min="14" max="14" width="11.7109375" style="161" customWidth="1"/>
    <col min="15" max="16" width="15.28515625" style="231" bestFit="1" customWidth="1"/>
    <col min="17" max="17" width="12" style="231" bestFit="1" customWidth="1"/>
    <col min="18" max="18" width="15.28515625" style="231" bestFit="1" customWidth="1"/>
    <col min="19" max="19" width="23.5703125" style="231" customWidth="1"/>
    <col min="20" max="20" width="14" style="2" bestFit="1" customWidth="1"/>
    <col min="21" max="21" width="14.140625" style="2" bestFit="1" customWidth="1"/>
    <col min="22" max="22" width="11.28515625" style="2" bestFit="1" customWidth="1"/>
    <col min="23" max="23" width="11.140625" style="2" bestFit="1" customWidth="1"/>
    <col min="24" max="16384" width="9.140625" style="2"/>
  </cols>
  <sheetData>
    <row r="1" spans="1:254" ht="36" customHeight="1" thickBot="1">
      <c r="B1" s="487" t="s">
        <v>35</v>
      </c>
      <c r="C1" s="487" t="s">
        <v>36</v>
      </c>
      <c r="D1" s="487" t="s">
        <v>37</v>
      </c>
      <c r="E1" s="487" t="s">
        <v>91</v>
      </c>
      <c r="F1" s="487" t="s">
        <v>18</v>
      </c>
      <c r="G1" s="479" t="s">
        <v>99</v>
      </c>
      <c r="H1" s="481"/>
      <c r="I1" s="481"/>
      <c r="J1" s="481"/>
      <c r="K1" s="481"/>
      <c r="L1" s="481"/>
      <c r="M1" s="481"/>
      <c r="N1" s="482"/>
      <c r="O1" s="229"/>
      <c r="P1" s="229"/>
      <c r="Q1" s="229"/>
      <c r="R1" s="230"/>
    </row>
    <row r="2" spans="1:254" ht="15.75" customHeight="1" thickBot="1">
      <c r="B2" s="488"/>
      <c r="C2" s="488"/>
      <c r="D2" s="488"/>
      <c r="E2" s="488"/>
      <c r="F2" s="488"/>
      <c r="G2" s="479" t="s">
        <v>260</v>
      </c>
      <c r="H2" s="480"/>
      <c r="I2" s="479" t="s">
        <v>303</v>
      </c>
      <c r="J2" s="480"/>
      <c r="K2" s="479" t="s">
        <v>340</v>
      </c>
      <c r="L2" s="480"/>
      <c r="M2" s="479" t="s">
        <v>259</v>
      </c>
      <c r="N2" s="480"/>
      <c r="R2" s="232"/>
    </row>
    <row r="3" spans="1:254" ht="16.5" thickBot="1">
      <c r="B3" s="489"/>
      <c r="C3" s="489"/>
      <c r="D3" s="489"/>
      <c r="E3" s="489"/>
      <c r="F3" s="489"/>
      <c r="G3" s="162" t="s">
        <v>187</v>
      </c>
      <c r="H3" s="147" t="s">
        <v>38</v>
      </c>
      <c r="I3" s="162" t="s">
        <v>187</v>
      </c>
      <c r="J3" s="147" t="s">
        <v>38</v>
      </c>
      <c r="K3" s="162" t="s">
        <v>187</v>
      </c>
      <c r="L3" s="147" t="s">
        <v>38</v>
      </c>
      <c r="M3" s="162" t="s">
        <v>187</v>
      </c>
      <c r="N3" s="147" t="s">
        <v>38</v>
      </c>
      <c r="R3" s="232"/>
    </row>
    <row r="4" spans="1:254">
      <c r="B4" s="163" t="s">
        <v>114</v>
      </c>
      <c r="C4" s="117" t="s">
        <v>115</v>
      </c>
      <c r="D4" s="117" t="s">
        <v>116</v>
      </c>
      <c r="E4" s="117" t="s">
        <v>117</v>
      </c>
      <c r="F4" s="116" t="s">
        <v>118</v>
      </c>
      <c r="G4" s="163" t="s">
        <v>119</v>
      </c>
      <c r="H4" s="113" t="s">
        <v>120</v>
      </c>
      <c r="I4" s="114">
        <v>8</v>
      </c>
      <c r="J4" s="115">
        <v>9</v>
      </c>
      <c r="K4" s="106">
        <v>10</v>
      </c>
      <c r="L4" s="115">
        <v>11</v>
      </c>
      <c r="M4" s="106">
        <v>12</v>
      </c>
      <c r="N4" s="115">
        <v>13</v>
      </c>
      <c r="O4" s="102"/>
      <c r="P4" s="102"/>
      <c r="Q4" s="102"/>
      <c r="R4" s="148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102"/>
      <c r="EQ4" s="102"/>
      <c r="ER4" s="102"/>
      <c r="ES4" s="102"/>
      <c r="ET4" s="102"/>
      <c r="EU4" s="102"/>
      <c r="EV4" s="102"/>
      <c r="EW4" s="102"/>
      <c r="EX4" s="102"/>
      <c r="EY4" s="102"/>
      <c r="EZ4" s="102"/>
      <c r="FA4" s="102"/>
      <c r="FB4" s="102"/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102"/>
      <c r="FU4" s="102"/>
      <c r="FV4" s="102"/>
      <c r="FW4" s="102"/>
      <c r="FX4" s="102"/>
      <c r="FY4" s="102"/>
      <c r="FZ4" s="102"/>
      <c r="GA4" s="102"/>
      <c r="GB4" s="102"/>
      <c r="GC4" s="102"/>
      <c r="GD4" s="102"/>
      <c r="GE4" s="102"/>
      <c r="GF4" s="102"/>
      <c r="GG4" s="102"/>
      <c r="GH4" s="102"/>
      <c r="GI4" s="102"/>
      <c r="GJ4" s="102"/>
      <c r="GK4" s="102"/>
      <c r="GL4" s="102"/>
      <c r="GM4" s="102"/>
      <c r="GN4" s="102"/>
      <c r="GO4" s="102"/>
      <c r="GP4" s="102"/>
      <c r="GQ4" s="102"/>
      <c r="GR4" s="102"/>
      <c r="GS4" s="102"/>
      <c r="GT4" s="102"/>
      <c r="GU4" s="102"/>
      <c r="GV4" s="102"/>
      <c r="GW4" s="102"/>
      <c r="GX4" s="102"/>
      <c r="GY4" s="102"/>
      <c r="GZ4" s="102"/>
      <c r="HA4" s="102"/>
      <c r="HB4" s="102"/>
      <c r="HC4" s="102"/>
      <c r="HD4" s="102"/>
      <c r="HE4" s="102"/>
      <c r="HF4" s="102"/>
      <c r="HG4" s="102"/>
      <c r="HH4" s="102"/>
      <c r="HI4" s="102"/>
      <c r="HJ4" s="102"/>
      <c r="HK4" s="102"/>
      <c r="HL4" s="102"/>
      <c r="HM4" s="102"/>
      <c r="HN4" s="102"/>
      <c r="HO4" s="102"/>
      <c r="HP4" s="102"/>
      <c r="HQ4" s="102"/>
      <c r="HR4" s="102"/>
      <c r="HS4" s="102"/>
      <c r="HT4" s="102"/>
      <c r="HU4" s="102"/>
      <c r="HV4" s="102"/>
      <c r="HW4" s="102"/>
      <c r="HX4" s="102"/>
      <c r="HY4" s="102"/>
      <c r="HZ4" s="102"/>
      <c r="IA4" s="102"/>
      <c r="IB4" s="102"/>
      <c r="IC4" s="102"/>
      <c r="ID4" s="102"/>
      <c r="IE4" s="102"/>
      <c r="IF4" s="102"/>
      <c r="IG4" s="102"/>
      <c r="IH4" s="102"/>
      <c r="II4" s="102"/>
      <c r="IJ4" s="102"/>
    </row>
    <row r="5" spans="1:254" ht="60.75" customHeight="1" thickBot="1">
      <c r="B5" s="132"/>
      <c r="C5" s="101" t="s">
        <v>121</v>
      </c>
      <c r="D5" s="104"/>
      <c r="E5" s="100"/>
      <c r="F5" s="105"/>
      <c r="G5" s="485" t="s">
        <v>272</v>
      </c>
      <c r="H5" s="486"/>
      <c r="I5" s="485" t="s">
        <v>299</v>
      </c>
      <c r="J5" s="486"/>
      <c r="K5" s="485" t="s">
        <v>309</v>
      </c>
      <c r="L5" s="486"/>
      <c r="M5" s="483"/>
      <c r="N5" s="484"/>
      <c r="O5" s="477"/>
      <c r="P5" s="477"/>
      <c r="Q5" s="477"/>
      <c r="R5" s="478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02"/>
      <c r="IH5" s="102"/>
      <c r="II5" s="102"/>
    </row>
    <row r="6" spans="1:254" ht="16.5" thickBot="1">
      <c r="A6" s="150"/>
      <c r="B6" s="186" t="s">
        <v>4</v>
      </c>
      <c r="C6" s="190" t="s">
        <v>136</v>
      </c>
      <c r="D6" s="234"/>
      <c r="E6" s="414"/>
      <c r="F6" s="186"/>
      <c r="G6" s="415"/>
      <c r="H6" s="188"/>
      <c r="I6" s="415"/>
      <c r="J6" s="188"/>
      <c r="K6" s="416"/>
      <c r="L6" s="188"/>
      <c r="M6" s="416"/>
      <c r="N6" s="188"/>
      <c r="O6" s="102"/>
      <c r="P6" s="102"/>
      <c r="Q6" s="102"/>
      <c r="R6" s="148"/>
      <c r="S6" s="102" t="s">
        <v>139</v>
      </c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  <c r="FG6" s="102"/>
      <c r="FH6" s="102"/>
      <c r="FI6" s="102"/>
      <c r="FJ6" s="102"/>
      <c r="FK6" s="102"/>
      <c r="FL6" s="102"/>
      <c r="FM6" s="102"/>
      <c r="FN6" s="102"/>
      <c r="FO6" s="102"/>
      <c r="FP6" s="102"/>
      <c r="FQ6" s="102"/>
      <c r="FR6" s="102"/>
      <c r="FS6" s="102"/>
      <c r="FT6" s="102"/>
      <c r="FU6" s="102"/>
      <c r="FV6" s="102"/>
      <c r="FW6" s="102"/>
      <c r="FX6" s="102"/>
      <c r="FY6" s="102"/>
      <c r="FZ6" s="102"/>
      <c r="GA6" s="102"/>
      <c r="GB6" s="102"/>
      <c r="GC6" s="102"/>
      <c r="GD6" s="102"/>
      <c r="GE6" s="102"/>
      <c r="GF6" s="102"/>
      <c r="GG6" s="102"/>
      <c r="GH6" s="102"/>
      <c r="GI6" s="102"/>
      <c r="GJ6" s="102"/>
      <c r="GK6" s="102"/>
      <c r="GL6" s="102"/>
      <c r="GM6" s="102"/>
      <c r="GN6" s="102"/>
      <c r="GO6" s="102"/>
      <c r="GP6" s="102"/>
      <c r="GQ6" s="102"/>
      <c r="GR6" s="102"/>
      <c r="GS6" s="102"/>
      <c r="GT6" s="102"/>
      <c r="GU6" s="102"/>
      <c r="GV6" s="102"/>
      <c r="GW6" s="102"/>
      <c r="GX6" s="102"/>
      <c r="GY6" s="102"/>
      <c r="GZ6" s="102"/>
      <c r="HA6" s="102"/>
      <c r="HB6" s="102"/>
      <c r="HC6" s="102"/>
      <c r="HD6" s="102"/>
      <c r="HE6" s="102"/>
      <c r="HF6" s="102"/>
      <c r="HG6" s="102"/>
      <c r="HH6" s="102"/>
      <c r="HI6" s="102"/>
      <c r="HJ6" s="102"/>
      <c r="HK6" s="102"/>
      <c r="HL6" s="102"/>
      <c r="HM6" s="102"/>
      <c r="HN6" s="102"/>
      <c r="HO6" s="102"/>
      <c r="HP6" s="102"/>
      <c r="HQ6" s="102"/>
      <c r="HR6" s="102"/>
      <c r="HS6" s="102"/>
      <c r="HT6" s="102"/>
      <c r="HU6" s="102"/>
      <c r="HV6" s="102"/>
      <c r="HW6" s="102"/>
      <c r="HX6" s="102"/>
      <c r="HY6" s="102"/>
      <c r="HZ6" s="102"/>
      <c r="IA6" s="102"/>
      <c r="IB6" s="102"/>
      <c r="IC6" s="102"/>
      <c r="ID6" s="102"/>
      <c r="IE6" s="102"/>
      <c r="IF6" s="102"/>
      <c r="IG6" s="102"/>
      <c r="IH6" s="102"/>
      <c r="II6" s="102"/>
      <c r="IJ6" s="102"/>
    </row>
    <row r="7" spans="1:254" ht="276.75" customHeight="1">
      <c r="A7" s="150"/>
      <c r="B7" s="125" t="s">
        <v>122</v>
      </c>
      <c r="C7" s="156" t="s">
        <v>302</v>
      </c>
      <c r="D7" s="125" t="s">
        <v>128</v>
      </c>
      <c r="E7" s="142" t="s">
        <v>222</v>
      </c>
      <c r="F7" s="125"/>
      <c r="G7" s="167" t="s">
        <v>188</v>
      </c>
      <c r="H7" s="142" t="s">
        <v>222</v>
      </c>
      <c r="I7" s="174">
        <v>-1.0740000000000001</v>
      </c>
      <c r="J7" s="194" t="s">
        <v>300</v>
      </c>
      <c r="K7" s="474">
        <v>-123.358</v>
      </c>
      <c r="L7" s="352" t="s">
        <v>310</v>
      </c>
      <c r="M7" s="174"/>
      <c r="N7" s="194"/>
      <c r="O7" s="102">
        <f>60.686+8.276+16.663+29.128+5.748+10.763+8.984+20.388</f>
        <v>160.63600000000002</v>
      </c>
      <c r="P7" s="102">
        <f>19.547+3.328+7.17+17.316+11.215+5.977+22.938+0.58</f>
        <v>88.071000000000012</v>
      </c>
      <c r="Q7" s="173">
        <f>P7-E7</f>
        <v>-36.36099999999999</v>
      </c>
      <c r="R7" s="148">
        <f>23.596+7.7+17.475+11.215+25.348+24.618</f>
        <v>109.952</v>
      </c>
      <c r="S7" s="173">
        <f>R7-J7</f>
        <v>-13.406000000000006</v>
      </c>
      <c r="T7" s="102">
        <f>23.884+17.928+17.475+11.215+25.348+28.582</f>
        <v>124.43199999999999</v>
      </c>
      <c r="U7" s="173">
        <f>T7-L7</f>
        <v>124.43199999999999</v>
      </c>
      <c r="V7" s="102">
        <f>27.508-28.582</f>
        <v>-1.0740000000000016</v>
      </c>
      <c r="W7" s="173">
        <f>H7+V7</f>
        <v>123.358</v>
      </c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2"/>
      <c r="EL7" s="102"/>
      <c r="EM7" s="102"/>
      <c r="EN7" s="102"/>
      <c r="EO7" s="102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2"/>
      <c r="FN7" s="102"/>
      <c r="FO7" s="102"/>
      <c r="FP7" s="102"/>
      <c r="FQ7" s="102"/>
      <c r="FR7" s="102"/>
      <c r="FS7" s="102"/>
      <c r="FT7" s="102"/>
      <c r="FU7" s="102"/>
      <c r="FV7" s="102"/>
      <c r="FW7" s="102"/>
      <c r="FX7" s="102"/>
      <c r="FY7" s="102"/>
      <c r="FZ7" s="102"/>
      <c r="GA7" s="102"/>
      <c r="GB7" s="102"/>
      <c r="GC7" s="102"/>
      <c r="GD7" s="102"/>
      <c r="GE7" s="102"/>
      <c r="GF7" s="102"/>
      <c r="GG7" s="102"/>
      <c r="GH7" s="102"/>
      <c r="GI7" s="102"/>
      <c r="GJ7" s="102"/>
      <c r="GK7" s="102"/>
      <c r="GL7" s="102"/>
      <c r="GM7" s="102"/>
      <c r="GN7" s="102"/>
      <c r="GO7" s="102"/>
      <c r="GP7" s="102"/>
      <c r="GQ7" s="102"/>
      <c r="GR7" s="102"/>
      <c r="GS7" s="102"/>
      <c r="GT7" s="102"/>
      <c r="GU7" s="102"/>
      <c r="GV7" s="102"/>
      <c r="GW7" s="102"/>
      <c r="GX7" s="102"/>
      <c r="GY7" s="102"/>
      <c r="GZ7" s="102"/>
      <c r="HA7" s="102"/>
      <c r="HB7" s="102"/>
      <c r="HC7" s="102"/>
      <c r="HD7" s="102"/>
      <c r="HE7" s="102"/>
      <c r="HF7" s="102"/>
      <c r="HG7" s="102"/>
      <c r="HH7" s="102"/>
      <c r="HI7" s="102"/>
      <c r="HJ7" s="102"/>
      <c r="HK7" s="102"/>
      <c r="HL7" s="102"/>
      <c r="HM7" s="102"/>
      <c r="HN7" s="102"/>
      <c r="HO7" s="102"/>
      <c r="HP7" s="102"/>
      <c r="HQ7" s="102"/>
      <c r="HR7" s="102"/>
      <c r="HS7" s="102"/>
      <c r="HT7" s="102"/>
      <c r="HU7" s="102"/>
      <c r="HV7" s="102"/>
      <c r="HW7" s="102"/>
      <c r="HX7" s="102"/>
      <c r="HY7" s="102"/>
      <c r="HZ7" s="102"/>
      <c r="IA7" s="102"/>
      <c r="IB7" s="102"/>
      <c r="IC7" s="102"/>
      <c r="ID7" s="102"/>
      <c r="IE7" s="102"/>
      <c r="IF7" s="102"/>
      <c r="IG7" s="102"/>
      <c r="IH7" s="102"/>
      <c r="II7" s="102"/>
      <c r="IJ7" s="102"/>
      <c r="IT7" s="233"/>
    </row>
    <row r="8" spans="1:254" ht="407.1" customHeight="1" thickBot="1">
      <c r="A8" s="265" t="s">
        <v>289</v>
      </c>
      <c r="B8" s="268"/>
      <c r="C8" s="417"/>
      <c r="D8" s="418"/>
      <c r="E8" s="418"/>
      <c r="F8" s="418"/>
      <c r="G8" s="272"/>
      <c r="H8" s="418"/>
      <c r="I8" s="286"/>
      <c r="J8" s="419"/>
      <c r="K8" s="476"/>
      <c r="L8" s="418"/>
      <c r="M8" s="286"/>
      <c r="N8" s="420"/>
      <c r="O8" s="102"/>
      <c r="P8" s="102"/>
      <c r="Q8" s="173"/>
      <c r="R8" s="148"/>
      <c r="S8" s="173"/>
      <c r="T8" s="102"/>
      <c r="U8" s="173"/>
      <c r="V8" s="102"/>
      <c r="W8" s="173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  <c r="FT8" s="102"/>
      <c r="FU8" s="102"/>
      <c r="FV8" s="102"/>
      <c r="FW8" s="102"/>
      <c r="FX8" s="102"/>
      <c r="FY8" s="102"/>
      <c r="FZ8" s="102"/>
      <c r="GA8" s="102"/>
      <c r="GB8" s="102"/>
      <c r="GC8" s="102"/>
      <c r="GD8" s="102"/>
      <c r="GE8" s="102"/>
      <c r="GF8" s="102"/>
      <c r="GG8" s="102"/>
      <c r="GH8" s="102"/>
      <c r="GI8" s="102"/>
      <c r="GJ8" s="102"/>
      <c r="GK8" s="102"/>
      <c r="GL8" s="102"/>
      <c r="GM8" s="102"/>
      <c r="GN8" s="102"/>
      <c r="GO8" s="102"/>
      <c r="GP8" s="102"/>
      <c r="GQ8" s="102"/>
      <c r="GR8" s="102"/>
      <c r="GS8" s="102"/>
      <c r="GT8" s="102"/>
      <c r="GU8" s="102"/>
      <c r="GV8" s="102"/>
      <c r="GW8" s="102"/>
      <c r="GX8" s="102"/>
      <c r="GY8" s="102"/>
      <c r="GZ8" s="102"/>
      <c r="HA8" s="102"/>
      <c r="HB8" s="102"/>
      <c r="HC8" s="102"/>
      <c r="HD8" s="102"/>
      <c r="HE8" s="102"/>
      <c r="HF8" s="102"/>
      <c r="HG8" s="102"/>
      <c r="HH8" s="102"/>
      <c r="HI8" s="102"/>
      <c r="HJ8" s="102"/>
      <c r="HK8" s="102"/>
      <c r="HL8" s="102"/>
      <c r="HM8" s="102"/>
      <c r="HN8" s="102"/>
      <c r="HO8" s="102"/>
      <c r="HP8" s="102"/>
      <c r="HQ8" s="102"/>
      <c r="HR8" s="102"/>
      <c r="HS8" s="102"/>
      <c r="HT8" s="102"/>
      <c r="HU8" s="102"/>
      <c r="HV8" s="102"/>
      <c r="HW8" s="102"/>
      <c r="HX8" s="102"/>
      <c r="HY8" s="102"/>
      <c r="HZ8" s="102"/>
      <c r="IA8" s="102"/>
      <c r="IB8" s="102"/>
      <c r="IC8" s="102"/>
      <c r="ID8" s="102"/>
      <c r="IE8" s="102"/>
      <c r="IF8" s="102"/>
      <c r="IG8" s="102"/>
      <c r="IH8" s="102"/>
      <c r="II8" s="102"/>
      <c r="IJ8" s="102"/>
      <c r="IT8" s="233"/>
    </row>
    <row r="9" spans="1:254" ht="30" customHeight="1" thickBot="1">
      <c r="A9" s="265" t="s">
        <v>289</v>
      </c>
      <c r="B9" s="266"/>
      <c r="C9" s="411"/>
      <c r="D9" s="266"/>
      <c r="E9" s="266"/>
      <c r="F9" s="266"/>
      <c r="G9" s="267"/>
      <c r="H9" s="266"/>
      <c r="I9" s="412"/>
      <c r="J9" s="410"/>
      <c r="K9" s="475"/>
      <c r="L9" s="266"/>
      <c r="M9" s="412"/>
      <c r="N9" s="410"/>
      <c r="O9" s="102"/>
      <c r="P9" s="102"/>
      <c r="Q9" s="173"/>
      <c r="R9" s="148"/>
      <c r="S9" s="173"/>
      <c r="T9" s="102"/>
      <c r="U9" s="173"/>
      <c r="V9" s="102"/>
      <c r="W9" s="173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2"/>
      <c r="FP9" s="102"/>
      <c r="FQ9" s="102"/>
      <c r="FR9" s="102"/>
      <c r="FS9" s="102"/>
      <c r="FT9" s="102"/>
      <c r="FU9" s="102"/>
      <c r="FV9" s="102"/>
      <c r="FW9" s="102"/>
      <c r="FX9" s="102"/>
      <c r="FY9" s="102"/>
      <c r="FZ9" s="102"/>
      <c r="GA9" s="102"/>
      <c r="GB9" s="102"/>
      <c r="GC9" s="102"/>
      <c r="GD9" s="102"/>
      <c r="GE9" s="102"/>
      <c r="GF9" s="102"/>
      <c r="GG9" s="102"/>
      <c r="GH9" s="102"/>
      <c r="GI9" s="102"/>
      <c r="GJ9" s="102"/>
      <c r="GK9" s="102"/>
      <c r="GL9" s="102"/>
      <c r="GM9" s="102"/>
      <c r="GN9" s="102"/>
      <c r="GO9" s="102"/>
      <c r="GP9" s="102"/>
      <c r="GQ9" s="102"/>
      <c r="GR9" s="102"/>
      <c r="GS9" s="102"/>
      <c r="GT9" s="102"/>
      <c r="GU9" s="102"/>
      <c r="GV9" s="102"/>
      <c r="GW9" s="102"/>
      <c r="GX9" s="102"/>
      <c r="GY9" s="102"/>
      <c r="GZ9" s="102"/>
      <c r="HA9" s="102"/>
      <c r="HB9" s="102"/>
      <c r="HC9" s="102"/>
      <c r="HD9" s="102"/>
      <c r="HE9" s="102"/>
      <c r="HF9" s="102"/>
      <c r="HG9" s="102"/>
      <c r="HH9" s="102"/>
      <c r="HI9" s="102"/>
      <c r="HJ9" s="102"/>
      <c r="HK9" s="102"/>
      <c r="HL9" s="102"/>
      <c r="HM9" s="102"/>
      <c r="HN9" s="102"/>
      <c r="HO9" s="102"/>
      <c r="HP9" s="102"/>
      <c r="HQ9" s="102"/>
      <c r="HR9" s="102"/>
      <c r="HS9" s="102"/>
      <c r="HT9" s="102"/>
      <c r="HU9" s="102"/>
      <c r="HV9" s="102"/>
      <c r="HW9" s="102"/>
      <c r="HX9" s="102"/>
      <c r="HY9" s="102"/>
      <c r="HZ9" s="102"/>
      <c r="IA9" s="102"/>
      <c r="IB9" s="102"/>
      <c r="IC9" s="102"/>
      <c r="ID9" s="102"/>
      <c r="IE9" s="102"/>
      <c r="IF9" s="102"/>
      <c r="IG9" s="102"/>
      <c r="IH9" s="102"/>
      <c r="II9" s="102"/>
      <c r="IJ9" s="102"/>
      <c r="IT9" s="233"/>
    </row>
    <row r="10" spans="1:254" ht="36" customHeight="1" thickBot="1">
      <c r="A10" s="274" t="s">
        <v>289</v>
      </c>
      <c r="B10" s="487" t="s">
        <v>35</v>
      </c>
      <c r="C10" s="487" t="s">
        <v>36</v>
      </c>
      <c r="D10" s="487" t="s">
        <v>37</v>
      </c>
      <c r="E10" s="487" t="s">
        <v>91</v>
      </c>
      <c r="F10" s="487" t="s">
        <v>18</v>
      </c>
      <c r="G10" s="479" t="s">
        <v>99</v>
      </c>
      <c r="H10" s="481"/>
      <c r="I10" s="481"/>
      <c r="J10" s="481"/>
      <c r="K10" s="481"/>
      <c r="L10" s="481"/>
      <c r="M10" s="481"/>
      <c r="N10" s="482"/>
      <c r="O10" s="229"/>
      <c r="P10" s="229"/>
      <c r="Q10" s="229"/>
      <c r="R10" s="230"/>
    </row>
    <row r="11" spans="1:254" ht="15.75" customHeight="1" thickBot="1">
      <c r="A11" s="274" t="s">
        <v>289</v>
      </c>
      <c r="B11" s="488"/>
      <c r="C11" s="488"/>
      <c r="D11" s="488"/>
      <c r="E11" s="488"/>
      <c r="F11" s="488"/>
      <c r="G11" s="479" t="s">
        <v>260</v>
      </c>
      <c r="H11" s="480"/>
      <c r="I11" s="479" t="s">
        <v>303</v>
      </c>
      <c r="J11" s="480"/>
      <c r="K11" s="479" t="s">
        <v>340</v>
      </c>
      <c r="L11" s="480"/>
      <c r="M11" s="479" t="s">
        <v>259</v>
      </c>
      <c r="N11" s="480"/>
      <c r="R11" s="232"/>
    </row>
    <row r="12" spans="1:254" ht="16.5" thickBot="1">
      <c r="A12" s="274" t="s">
        <v>289</v>
      </c>
      <c r="B12" s="489"/>
      <c r="C12" s="489"/>
      <c r="D12" s="489"/>
      <c r="E12" s="489"/>
      <c r="F12" s="489"/>
      <c r="G12" s="162" t="s">
        <v>187</v>
      </c>
      <c r="H12" s="147" t="s">
        <v>38</v>
      </c>
      <c r="I12" s="162" t="s">
        <v>187</v>
      </c>
      <c r="J12" s="147" t="s">
        <v>38</v>
      </c>
      <c r="K12" s="162" t="s">
        <v>187</v>
      </c>
      <c r="L12" s="147" t="s">
        <v>38</v>
      </c>
      <c r="M12" s="162" t="s">
        <v>187</v>
      </c>
      <c r="N12" s="147" t="s">
        <v>38</v>
      </c>
      <c r="R12" s="232"/>
    </row>
    <row r="13" spans="1:254">
      <c r="A13" s="274" t="s">
        <v>289</v>
      </c>
      <c r="B13" s="163" t="s">
        <v>114</v>
      </c>
      <c r="C13" s="117" t="s">
        <v>115</v>
      </c>
      <c r="D13" s="117" t="s">
        <v>116</v>
      </c>
      <c r="E13" s="117" t="s">
        <v>117</v>
      </c>
      <c r="F13" s="116" t="s">
        <v>118</v>
      </c>
      <c r="G13" s="163" t="s">
        <v>119</v>
      </c>
      <c r="H13" s="113" t="s">
        <v>120</v>
      </c>
      <c r="I13" s="114">
        <v>8</v>
      </c>
      <c r="J13" s="115">
        <v>9</v>
      </c>
      <c r="K13" s="106">
        <v>10</v>
      </c>
      <c r="L13" s="115">
        <v>11</v>
      </c>
      <c r="M13" s="106">
        <v>12</v>
      </c>
      <c r="N13" s="115">
        <v>13</v>
      </c>
      <c r="O13" s="102"/>
      <c r="P13" s="102"/>
      <c r="Q13" s="102"/>
      <c r="R13" s="148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</row>
    <row r="14" spans="1:254" ht="256.5" customHeight="1">
      <c r="A14" s="150"/>
      <c r="B14" s="376" t="s">
        <v>312</v>
      </c>
      <c r="C14" s="409" t="s">
        <v>313</v>
      </c>
      <c r="D14" s="368" t="s">
        <v>128</v>
      </c>
      <c r="E14" s="369" t="s">
        <v>310</v>
      </c>
      <c r="F14" s="376"/>
      <c r="G14" s="364" t="s">
        <v>188</v>
      </c>
      <c r="H14" s="376" t="s">
        <v>310</v>
      </c>
      <c r="I14" s="364" t="s">
        <v>188</v>
      </c>
      <c r="J14" s="376" t="s">
        <v>310</v>
      </c>
      <c r="K14" s="364">
        <v>120.383</v>
      </c>
      <c r="L14" s="376" t="s">
        <v>314</v>
      </c>
      <c r="M14" s="366"/>
      <c r="N14" s="367"/>
      <c r="O14" s="102"/>
      <c r="P14" s="102"/>
      <c r="Q14" s="173"/>
      <c r="R14" s="148"/>
      <c r="S14" s="173"/>
      <c r="T14" s="102"/>
      <c r="U14" s="173"/>
      <c r="V14" s="102"/>
      <c r="W14" s="173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  <c r="EO14" s="102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102"/>
      <c r="GG14" s="102"/>
      <c r="GH14" s="102"/>
      <c r="GI14" s="102"/>
      <c r="GJ14" s="102"/>
      <c r="GK14" s="102"/>
      <c r="GL14" s="102"/>
      <c r="GM14" s="102"/>
      <c r="GN14" s="102"/>
      <c r="GO14" s="102"/>
      <c r="GP14" s="102"/>
      <c r="GQ14" s="102"/>
      <c r="GR14" s="102"/>
      <c r="GS14" s="102"/>
      <c r="GT14" s="102"/>
      <c r="GU14" s="102"/>
      <c r="GV14" s="102"/>
      <c r="GW14" s="102"/>
      <c r="GX14" s="102"/>
      <c r="GY14" s="102"/>
      <c r="GZ14" s="102"/>
      <c r="HA14" s="102"/>
      <c r="HB14" s="102"/>
      <c r="HC14" s="102"/>
      <c r="HD14" s="102"/>
      <c r="HE14" s="102"/>
      <c r="HF14" s="102"/>
      <c r="HG14" s="102"/>
      <c r="HH14" s="102"/>
      <c r="HI14" s="102"/>
      <c r="HJ14" s="102"/>
      <c r="HK14" s="102"/>
      <c r="HL14" s="102"/>
      <c r="HM14" s="102"/>
      <c r="HN14" s="102"/>
      <c r="HO14" s="102"/>
      <c r="HP14" s="102"/>
      <c r="HQ14" s="102"/>
      <c r="HR14" s="102"/>
      <c r="HS14" s="102"/>
      <c r="HT14" s="102"/>
      <c r="HU14" s="102"/>
      <c r="HV14" s="102"/>
      <c r="HW14" s="102"/>
      <c r="HX14" s="102"/>
      <c r="HY14" s="102"/>
      <c r="HZ14" s="102"/>
      <c r="IA14" s="102"/>
      <c r="IB14" s="102"/>
      <c r="IC14" s="102"/>
      <c r="ID14" s="102"/>
      <c r="IE14" s="102"/>
      <c r="IF14" s="102"/>
      <c r="IG14" s="102"/>
      <c r="IH14" s="102"/>
      <c r="II14" s="102"/>
      <c r="IJ14" s="102"/>
    </row>
    <row r="15" spans="1:254" ht="130.5" customHeight="1">
      <c r="A15" s="150"/>
      <c r="B15" s="154" t="s">
        <v>123</v>
      </c>
      <c r="C15" s="130" t="s">
        <v>268</v>
      </c>
      <c r="D15" s="133" t="s">
        <v>128</v>
      </c>
      <c r="E15" s="209">
        <v>37.512999999999998</v>
      </c>
      <c r="F15" s="126"/>
      <c r="G15" s="209" t="s">
        <v>188</v>
      </c>
      <c r="H15" s="128">
        <v>37.512999999999998</v>
      </c>
      <c r="I15" s="209" t="s">
        <v>188</v>
      </c>
      <c r="J15" s="126">
        <v>37.512999999999998</v>
      </c>
      <c r="K15" s="353">
        <v>-37.512999999999998</v>
      </c>
      <c r="L15" s="370">
        <v>0</v>
      </c>
      <c r="M15" s="210"/>
      <c r="N15" s="222"/>
      <c r="O15" s="102">
        <v>71.103999999999999</v>
      </c>
      <c r="P15" s="102">
        <v>36.209000000000003</v>
      </c>
      <c r="Q15" s="102">
        <f>O15-P15</f>
        <v>34.894999999999996</v>
      </c>
      <c r="R15" s="148">
        <f>(10483.1+860.61+6101.77+62.17+886.08+376.8+18742.2)/1000</f>
        <v>37.512730000000005</v>
      </c>
      <c r="S15" s="153">
        <f>R15-L15</f>
        <v>37.512730000000005</v>
      </c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  <c r="DH15" s="102"/>
      <c r="DI15" s="102"/>
      <c r="DJ15" s="102"/>
      <c r="DK15" s="102"/>
      <c r="DL15" s="102"/>
      <c r="DM15" s="102"/>
      <c r="DN15" s="102"/>
      <c r="DO15" s="102"/>
      <c r="DP15" s="102"/>
      <c r="DQ15" s="102"/>
      <c r="DR15" s="102"/>
      <c r="DS15" s="102"/>
      <c r="DT15" s="102"/>
      <c r="DU15" s="102"/>
      <c r="DV15" s="102"/>
      <c r="DW15" s="102"/>
      <c r="DX15" s="102"/>
      <c r="DY15" s="102"/>
      <c r="DZ15" s="102"/>
      <c r="EA15" s="102"/>
      <c r="EB15" s="102"/>
      <c r="EC15" s="102"/>
      <c r="ED15" s="102"/>
      <c r="EE15" s="102"/>
      <c r="EF15" s="102"/>
      <c r="EG15" s="102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102"/>
      <c r="GG15" s="102"/>
      <c r="GH15" s="102"/>
      <c r="GI15" s="102"/>
      <c r="GJ15" s="102"/>
      <c r="GK15" s="102"/>
      <c r="GL15" s="102"/>
      <c r="GM15" s="102"/>
      <c r="GN15" s="102"/>
      <c r="GO15" s="102"/>
      <c r="GP15" s="102"/>
      <c r="GQ15" s="102"/>
      <c r="GR15" s="102"/>
      <c r="GS15" s="102"/>
      <c r="GT15" s="102"/>
      <c r="GU15" s="102"/>
      <c r="GV15" s="102"/>
      <c r="GW15" s="102"/>
      <c r="GX15" s="102"/>
      <c r="GY15" s="102"/>
      <c r="GZ15" s="102"/>
      <c r="HA15" s="102"/>
      <c r="HB15" s="102"/>
      <c r="HC15" s="102"/>
      <c r="HD15" s="102"/>
      <c r="HE15" s="102"/>
      <c r="HF15" s="102"/>
      <c r="HG15" s="102"/>
      <c r="HH15" s="102"/>
      <c r="HI15" s="102"/>
      <c r="HJ15" s="102"/>
      <c r="HK15" s="102"/>
      <c r="HL15" s="102"/>
      <c r="HM15" s="102"/>
      <c r="HN15" s="102"/>
      <c r="HO15" s="102"/>
      <c r="HP15" s="102"/>
      <c r="HQ15" s="102"/>
      <c r="HR15" s="102"/>
      <c r="HS15" s="102"/>
      <c r="HT15" s="102"/>
      <c r="HU15" s="102"/>
      <c r="HV15" s="102"/>
      <c r="HW15" s="102"/>
      <c r="HX15" s="102"/>
      <c r="HY15" s="102"/>
      <c r="HZ15" s="102"/>
      <c r="IA15" s="102"/>
      <c r="IB15" s="102"/>
      <c r="IC15" s="102"/>
      <c r="ID15" s="102"/>
      <c r="IE15" s="102"/>
      <c r="IF15" s="102"/>
      <c r="IG15" s="102"/>
      <c r="IH15" s="102"/>
      <c r="II15" s="102"/>
      <c r="IJ15" s="102"/>
    </row>
    <row r="16" spans="1:254" ht="80.25" customHeight="1">
      <c r="A16" s="150"/>
      <c r="B16" s="402" t="s">
        <v>315</v>
      </c>
      <c r="C16" s="456" t="s">
        <v>316</v>
      </c>
      <c r="D16" s="372" t="s">
        <v>128</v>
      </c>
      <c r="E16" s="457">
        <v>0</v>
      </c>
      <c r="F16" s="374"/>
      <c r="G16" s="353" t="s">
        <v>188</v>
      </c>
      <c r="H16" s="457">
        <v>0</v>
      </c>
      <c r="I16" s="353" t="s">
        <v>188</v>
      </c>
      <c r="J16" s="373">
        <v>0</v>
      </c>
      <c r="K16" s="371">
        <v>40.459099999999999</v>
      </c>
      <c r="L16" s="458">
        <v>40.459099999999999</v>
      </c>
      <c r="M16" s="210"/>
      <c r="N16" s="222"/>
      <c r="O16" s="102"/>
      <c r="P16" s="102"/>
      <c r="Q16" s="102"/>
      <c r="R16" s="148"/>
      <c r="S16" s="153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  <c r="DB16" s="102"/>
      <c r="DC16" s="102"/>
      <c r="DD16" s="102"/>
      <c r="DE16" s="102"/>
      <c r="DF16" s="102"/>
      <c r="DG16" s="102"/>
      <c r="DH16" s="102"/>
      <c r="DI16" s="102"/>
      <c r="DJ16" s="102"/>
      <c r="DK16" s="102"/>
      <c r="DL16" s="102"/>
      <c r="DM16" s="102"/>
      <c r="DN16" s="102"/>
      <c r="DO16" s="102"/>
      <c r="DP16" s="102"/>
      <c r="DQ16" s="102"/>
      <c r="DR16" s="102"/>
      <c r="DS16" s="102"/>
      <c r="DT16" s="102"/>
      <c r="DU16" s="102"/>
      <c r="DV16" s="102"/>
      <c r="DW16" s="102"/>
      <c r="DX16" s="102"/>
      <c r="DY16" s="102"/>
      <c r="DZ16" s="102"/>
      <c r="EA16" s="102"/>
      <c r="EB16" s="102"/>
      <c r="EC16" s="102"/>
      <c r="ED16" s="102"/>
      <c r="EE16" s="102"/>
      <c r="EF16" s="102"/>
      <c r="EG16" s="102"/>
      <c r="EH16" s="102"/>
      <c r="EI16" s="102"/>
      <c r="EJ16" s="102"/>
      <c r="EK16" s="102"/>
      <c r="EL16" s="102"/>
      <c r="EM16" s="102"/>
      <c r="EN16" s="102"/>
      <c r="EO16" s="102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102"/>
      <c r="GG16" s="102"/>
      <c r="GH16" s="102"/>
      <c r="GI16" s="102"/>
      <c r="GJ16" s="102"/>
      <c r="GK16" s="102"/>
      <c r="GL16" s="102"/>
      <c r="GM16" s="102"/>
      <c r="GN16" s="102"/>
      <c r="GO16" s="102"/>
      <c r="GP16" s="102"/>
      <c r="GQ16" s="102"/>
      <c r="GR16" s="102"/>
      <c r="GS16" s="102"/>
      <c r="GT16" s="102"/>
      <c r="GU16" s="102"/>
      <c r="GV16" s="102"/>
      <c r="GW16" s="102"/>
      <c r="GX16" s="102"/>
      <c r="GY16" s="102"/>
      <c r="GZ16" s="102"/>
      <c r="HA16" s="102"/>
      <c r="HB16" s="102"/>
      <c r="HC16" s="102"/>
      <c r="HD16" s="102"/>
      <c r="HE16" s="102"/>
      <c r="HF16" s="102"/>
      <c r="HG16" s="102"/>
      <c r="HH16" s="102"/>
      <c r="HI16" s="102"/>
      <c r="HJ16" s="102"/>
      <c r="HK16" s="102"/>
      <c r="HL16" s="102"/>
      <c r="HM16" s="102"/>
      <c r="HN16" s="102"/>
      <c r="HO16" s="102"/>
      <c r="HP16" s="102"/>
      <c r="HQ16" s="102"/>
      <c r="HR16" s="102"/>
      <c r="HS16" s="102"/>
      <c r="HT16" s="102"/>
      <c r="HU16" s="102"/>
      <c r="HV16" s="102"/>
      <c r="HW16" s="102"/>
      <c r="HX16" s="102"/>
      <c r="HY16" s="102"/>
      <c r="HZ16" s="102"/>
      <c r="IA16" s="102"/>
      <c r="IB16" s="102"/>
      <c r="IC16" s="102"/>
      <c r="ID16" s="102"/>
      <c r="IE16" s="102"/>
      <c r="IF16" s="102"/>
      <c r="IG16" s="102"/>
      <c r="IH16" s="102"/>
      <c r="II16" s="102"/>
      <c r="IJ16" s="102"/>
    </row>
    <row r="17" spans="1:254" ht="51.75" customHeight="1">
      <c r="A17" s="150"/>
      <c r="B17" s="132" t="s">
        <v>124</v>
      </c>
      <c r="C17" s="101" t="s">
        <v>344</v>
      </c>
      <c r="D17" s="133" t="s">
        <v>128</v>
      </c>
      <c r="E17" s="134">
        <v>0.79200000000000004</v>
      </c>
      <c r="F17" s="126"/>
      <c r="G17" s="166" t="s">
        <v>188</v>
      </c>
      <c r="H17" s="134">
        <v>0.79200000000000004</v>
      </c>
      <c r="I17" s="166" t="s">
        <v>188</v>
      </c>
      <c r="J17" s="134">
        <v>0.79200000000000004</v>
      </c>
      <c r="K17" s="354">
        <v>-0.36099999999999999</v>
      </c>
      <c r="L17" s="355">
        <v>0.43099999999999999</v>
      </c>
      <c r="M17" s="166"/>
      <c r="N17" s="134"/>
      <c r="O17" s="102">
        <v>1.907</v>
      </c>
      <c r="P17" s="102">
        <f>0.115965+0.269325</f>
        <v>0.38528999999999997</v>
      </c>
      <c r="Q17" s="102">
        <f>P17-O17</f>
        <v>-1.5217100000000001</v>
      </c>
      <c r="R17" s="185">
        <f>0.792-J17</f>
        <v>0</v>
      </c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2"/>
      <c r="GP17" s="102"/>
      <c r="GQ17" s="102"/>
      <c r="GR17" s="102"/>
      <c r="GS17" s="102"/>
      <c r="GT17" s="102"/>
      <c r="GU17" s="102"/>
      <c r="GV17" s="102"/>
      <c r="GW17" s="102"/>
      <c r="GX17" s="102"/>
      <c r="GY17" s="102"/>
      <c r="GZ17" s="102"/>
      <c r="HA17" s="102"/>
      <c r="HB17" s="102"/>
      <c r="HC17" s="102"/>
      <c r="HD17" s="102"/>
      <c r="HE17" s="102"/>
      <c r="HF17" s="102"/>
      <c r="HG17" s="102"/>
      <c r="HH17" s="102"/>
      <c r="HI17" s="102"/>
      <c r="HJ17" s="102"/>
      <c r="HK17" s="102"/>
      <c r="HL17" s="102"/>
      <c r="HM17" s="102"/>
      <c r="HN17" s="102"/>
      <c r="HO17" s="102"/>
      <c r="HP17" s="102"/>
      <c r="HQ17" s="102"/>
      <c r="HR17" s="102"/>
      <c r="HS17" s="102"/>
      <c r="HT17" s="102"/>
      <c r="HU17" s="102"/>
      <c r="HV17" s="102"/>
      <c r="HW17" s="102"/>
      <c r="HX17" s="102"/>
      <c r="HY17" s="102"/>
      <c r="HZ17" s="102"/>
      <c r="IA17" s="102"/>
      <c r="IB17" s="102"/>
      <c r="IC17" s="102"/>
      <c r="ID17" s="102"/>
      <c r="IE17" s="102"/>
      <c r="IF17" s="102"/>
      <c r="IG17" s="102"/>
      <c r="IH17" s="102"/>
      <c r="II17" s="102"/>
      <c r="IJ17" s="102"/>
      <c r="IT17" s="233"/>
    </row>
    <row r="18" spans="1:254" ht="47.25">
      <c r="A18" s="150"/>
      <c r="B18" s="154" t="s">
        <v>125</v>
      </c>
      <c r="C18" s="130" t="s">
        <v>186</v>
      </c>
      <c r="D18" s="155" t="s">
        <v>133</v>
      </c>
      <c r="E18" s="199" t="s">
        <v>204</v>
      </c>
      <c r="F18" s="175"/>
      <c r="G18" s="193" t="s">
        <v>207</v>
      </c>
      <c r="H18" s="225" t="s">
        <v>274</v>
      </c>
      <c r="I18" s="193" t="s">
        <v>207</v>
      </c>
      <c r="J18" s="225" t="s">
        <v>274</v>
      </c>
      <c r="K18" s="193" t="s">
        <v>207</v>
      </c>
      <c r="L18" s="225" t="s">
        <v>274</v>
      </c>
      <c r="M18" s="193"/>
      <c r="N18" s="199"/>
      <c r="O18" s="102">
        <v>0.28699999999999998</v>
      </c>
      <c r="P18" s="102">
        <v>7.0965E-2</v>
      </c>
      <c r="Q18" s="102">
        <f>P18-O18</f>
        <v>-0.21603499999999998</v>
      </c>
      <c r="R18" s="148">
        <f>34.571/0.287*P18</f>
        <v>8.5481916898954715</v>
      </c>
      <c r="S18" s="102">
        <f>34.571-R18</f>
        <v>26.022808310104526</v>
      </c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2"/>
      <c r="FN18" s="102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102"/>
      <c r="GG18" s="102"/>
      <c r="GH18" s="102"/>
      <c r="GI18" s="102"/>
      <c r="GJ18" s="102"/>
      <c r="GK18" s="102"/>
      <c r="GL18" s="102"/>
      <c r="GM18" s="102"/>
      <c r="GN18" s="102"/>
      <c r="GO18" s="102"/>
      <c r="GP18" s="102"/>
      <c r="GQ18" s="102"/>
      <c r="GR18" s="102"/>
      <c r="GS18" s="102"/>
      <c r="GT18" s="102"/>
      <c r="GU18" s="102"/>
      <c r="GV18" s="102"/>
      <c r="GW18" s="102"/>
      <c r="GX18" s="102"/>
      <c r="GY18" s="102"/>
      <c r="GZ18" s="102"/>
      <c r="HA18" s="102"/>
      <c r="HB18" s="102"/>
      <c r="HC18" s="102"/>
      <c r="HD18" s="102"/>
      <c r="HE18" s="102"/>
      <c r="HF18" s="102"/>
      <c r="HG18" s="102"/>
      <c r="HH18" s="102"/>
      <c r="HI18" s="102"/>
      <c r="HJ18" s="102"/>
      <c r="HK18" s="102"/>
      <c r="HL18" s="102"/>
      <c r="HM18" s="102"/>
      <c r="HN18" s="102"/>
      <c r="HO18" s="102"/>
      <c r="HP18" s="102"/>
      <c r="HQ18" s="102"/>
      <c r="HR18" s="102"/>
      <c r="HS18" s="102"/>
      <c r="HT18" s="102"/>
      <c r="HU18" s="102"/>
      <c r="HV18" s="102"/>
      <c r="HW18" s="102"/>
      <c r="HX18" s="102"/>
      <c r="HY18" s="102"/>
      <c r="HZ18" s="102"/>
      <c r="IA18" s="102"/>
      <c r="IB18" s="102"/>
      <c r="IC18" s="102"/>
      <c r="ID18" s="102"/>
      <c r="IE18" s="102"/>
      <c r="IF18" s="102"/>
      <c r="IG18" s="102"/>
      <c r="IH18" s="102"/>
      <c r="II18" s="102"/>
      <c r="IJ18" s="102"/>
      <c r="IT18" s="233"/>
    </row>
    <row r="19" spans="1:254" ht="195.75" customHeight="1" thickBot="1">
      <c r="A19" s="265" t="s">
        <v>289</v>
      </c>
      <c r="B19" s="268"/>
      <c r="C19" s="269"/>
      <c r="D19" s="270"/>
      <c r="E19" s="424"/>
      <c r="F19" s="271"/>
      <c r="G19" s="331"/>
      <c r="H19" s="425"/>
      <c r="I19" s="331"/>
      <c r="J19" s="425"/>
      <c r="K19" s="331"/>
      <c r="L19" s="425"/>
      <c r="M19" s="331"/>
      <c r="N19" s="426"/>
      <c r="O19" s="102"/>
      <c r="P19" s="102"/>
      <c r="Q19" s="102"/>
      <c r="R19" s="148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  <c r="DB19" s="102"/>
      <c r="DC19" s="102"/>
      <c r="DD19" s="102"/>
      <c r="DE19" s="102"/>
      <c r="DF19" s="102"/>
      <c r="DG19" s="102"/>
      <c r="DH19" s="102"/>
      <c r="DI19" s="102"/>
      <c r="DJ19" s="102"/>
      <c r="DK19" s="102"/>
      <c r="DL19" s="102"/>
      <c r="DM19" s="102"/>
      <c r="DN19" s="102"/>
      <c r="DO19" s="102"/>
      <c r="DP19" s="102"/>
      <c r="DQ19" s="102"/>
      <c r="DR19" s="102"/>
      <c r="DS19" s="102"/>
      <c r="DT19" s="102"/>
      <c r="DU19" s="102"/>
      <c r="DV19" s="102"/>
      <c r="DW19" s="102"/>
      <c r="DX19" s="102"/>
      <c r="DY19" s="102"/>
      <c r="DZ19" s="102"/>
      <c r="EA19" s="102"/>
      <c r="EB19" s="102"/>
      <c r="EC19" s="102"/>
      <c r="ED19" s="102"/>
      <c r="EE19" s="102"/>
      <c r="EF19" s="102"/>
      <c r="EG19" s="102"/>
      <c r="EH19" s="102"/>
      <c r="EI19" s="102"/>
      <c r="EJ19" s="102"/>
      <c r="EK19" s="102"/>
      <c r="EL19" s="102"/>
      <c r="EM19" s="102"/>
      <c r="EN19" s="102"/>
      <c r="EO19" s="102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2"/>
      <c r="FN19" s="102"/>
      <c r="FO19" s="102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102"/>
      <c r="GG19" s="102"/>
      <c r="GH19" s="102"/>
      <c r="GI19" s="102"/>
      <c r="GJ19" s="102"/>
      <c r="GK19" s="102"/>
      <c r="GL19" s="102"/>
      <c r="GM19" s="102"/>
      <c r="GN19" s="102"/>
      <c r="GO19" s="102"/>
      <c r="GP19" s="102"/>
      <c r="GQ19" s="102"/>
      <c r="GR19" s="102"/>
      <c r="GS19" s="102"/>
      <c r="GT19" s="102"/>
      <c r="GU19" s="102"/>
      <c r="GV19" s="102"/>
      <c r="GW19" s="102"/>
      <c r="GX19" s="102"/>
      <c r="GY19" s="102"/>
      <c r="GZ19" s="102"/>
      <c r="HA19" s="102"/>
      <c r="HB19" s="102"/>
      <c r="HC19" s="102"/>
      <c r="HD19" s="102"/>
      <c r="HE19" s="102"/>
      <c r="HF19" s="102"/>
      <c r="HG19" s="102"/>
      <c r="HH19" s="102"/>
      <c r="HI19" s="102"/>
      <c r="HJ19" s="102"/>
      <c r="HK19" s="102"/>
      <c r="HL19" s="102"/>
      <c r="HM19" s="102"/>
      <c r="HN19" s="102"/>
      <c r="HO19" s="102"/>
      <c r="HP19" s="102"/>
      <c r="HQ19" s="102"/>
      <c r="HR19" s="102"/>
      <c r="HS19" s="102"/>
      <c r="HT19" s="102"/>
      <c r="HU19" s="102"/>
      <c r="HV19" s="102"/>
      <c r="HW19" s="102"/>
      <c r="HX19" s="102"/>
      <c r="HY19" s="102"/>
      <c r="HZ19" s="102"/>
      <c r="IA19" s="102"/>
      <c r="IB19" s="102"/>
      <c r="IC19" s="102"/>
      <c r="ID19" s="102"/>
      <c r="IE19" s="102"/>
      <c r="IF19" s="102"/>
      <c r="IG19" s="102"/>
      <c r="IH19" s="102"/>
      <c r="II19" s="102"/>
      <c r="IJ19" s="102"/>
      <c r="IT19" s="233"/>
    </row>
    <row r="20" spans="1:254" ht="30" customHeight="1" thickBot="1">
      <c r="A20" s="265" t="s">
        <v>289</v>
      </c>
      <c r="B20" s="275"/>
      <c r="C20" s="278"/>
      <c r="D20" s="279"/>
      <c r="E20" s="427"/>
      <c r="F20" s="280"/>
      <c r="G20" s="333"/>
      <c r="H20" s="428"/>
      <c r="I20" s="333"/>
      <c r="J20" s="428"/>
      <c r="K20" s="333"/>
      <c r="L20" s="428"/>
      <c r="M20" s="333"/>
      <c r="N20" s="427"/>
      <c r="O20" s="102"/>
      <c r="P20" s="102"/>
      <c r="Q20" s="102"/>
      <c r="R20" s="148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  <c r="EI20" s="102"/>
      <c r="EJ20" s="102"/>
      <c r="EK20" s="102"/>
      <c r="EL20" s="102"/>
      <c r="EM20" s="102"/>
      <c r="EN20" s="102"/>
      <c r="EO20" s="102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2"/>
      <c r="FN20" s="102"/>
      <c r="FO20" s="102"/>
      <c r="FP20" s="102"/>
      <c r="FQ20" s="102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102"/>
      <c r="GG20" s="102"/>
      <c r="GH20" s="102"/>
      <c r="GI20" s="102"/>
      <c r="GJ20" s="102"/>
      <c r="GK20" s="102"/>
      <c r="GL20" s="102"/>
      <c r="GM20" s="102"/>
      <c r="GN20" s="102"/>
      <c r="GO20" s="102"/>
      <c r="GP20" s="102"/>
      <c r="GQ20" s="102"/>
      <c r="GR20" s="102"/>
      <c r="GS20" s="102"/>
      <c r="GT20" s="102"/>
      <c r="GU20" s="102"/>
      <c r="GV20" s="102"/>
      <c r="GW20" s="102"/>
      <c r="GX20" s="102"/>
      <c r="GY20" s="102"/>
      <c r="GZ20" s="102"/>
      <c r="HA20" s="102"/>
      <c r="HB20" s="102"/>
      <c r="HC20" s="102"/>
      <c r="HD20" s="102"/>
      <c r="HE20" s="102"/>
      <c r="HF20" s="102"/>
      <c r="HG20" s="102"/>
      <c r="HH20" s="102"/>
      <c r="HI20" s="102"/>
      <c r="HJ20" s="102"/>
      <c r="HK20" s="102"/>
      <c r="HL20" s="102"/>
      <c r="HM20" s="102"/>
      <c r="HN20" s="102"/>
      <c r="HO20" s="102"/>
      <c r="HP20" s="102"/>
      <c r="HQ20" s="102"/>
      <c r="HR20" s="102"/>
      <c r="HS20" s="102"/>
      <c r="HT20" s="102"/>
      <c r="HU20" s="102"/>
      <c r="HV20" s="102"/>
      <c r="HW20" s="102"/>
      <c r="HX20" s="102"/>
      <c r="HY20" s="102"/>
      <c r="HZ20" s="102"/>
      <c r="IA20" s="102"/>
      <c r="IB20" s="102"/>
      <c r="IC20" s="102"/>
      <c r="ID20" s="102"/>
      <c r="IE20" s="102"/>
      <c r="IF20" s="102"/>
      <c r="IG20" s="102"/>
      <c r="IH20" s="102"/>
      <c r="II20" s="102"/>
      <c r="IJ20" s="102"/>
      <c r="IT20" s="233"/>
    </row>
    <row r="21" spans="1:254" ht="36" customHeight="1" thickBot="1">
      <c r="A21" s="274" t="s">
        <v>289</v>
      </c>
      <c r="B21" s="487" t="s">
        <v>35</v>
      </c>
      <c r="C21" s="487" t="s">
        <v>36</v>
      </c>
      <c r="D21" s="487" t="s">
        <v>37</v>
      </c>
      <c r="E21" s="487" t="s">
        <v>91</v>
      </c>
      <c r="F21" s="487" t="s">
        <v>18</v>
      </c>
      <c r="G21" s="479" t="s">
        <v>99</v>
      </c>
      <c r="H21" s="481"/>
      <c r="I21" s="481"/>
      <c r="J21" s="481"/>
      <c r="K21" s="481"/>
      <c r="L21" s="481"/>
      <c r="M21" s="481"/>
      <c r="N21" s="482"/>
      <c r="O21" s="229"/>
      <c r="P21" s="229"/>
      <c r="Q21" s="229"/>
      <c r="R21" s="230"/>
    </row>
    <row r="22" spans="1:254" ht="15.75" customHeight="1" thickBot="1">
      <c r="A22" s="274" t="s">
        <v>289</v>
      </c>
      <c r="B22" s="488"/>
      <c r="C22" s="488"/>
      <c r="D22" s="488"/>
      <c r="E22" s="488"/>
      <c r="F22" s="488"/>
      <c r="G22" s="479" t="s">
        <v>260</v>
      </c>
      <c r="H22" s="480"/>
      <c r="I22" s="479" t="s">
        <v>303</v>
      </c>
      <c r="J22" s="480"/>
      <c r="K22" s="479" t="s">
        <v>340</v>
      </c>
      <c r="L22" s="480"/>
      <c r="M22" s="479" t="s">
        <v>259</v>
      </c>
      <c r="N22" s="480"/>
      <c r="R22" s="232"/>
    </row>
    <row r="23" spans="1:254" ht="16.5" thickBot="1">
      <c r="A23" s="274" t="s">
        <v>289</v>
      </c>
      <c r="B23" s="489"/>
      <c r="C23" s="489"/>
      <c r="D23" s="489"/>
      <c r="E23" s="489"/>
      <c r="F23" s="489"/>
      <c r="G23" s="162" t="s">
        <v>187</v>
      </c>
      <c r="H23" s="147" t="s">
        <v>38</v>
      </c>
      <c r="I23" s="162" t="s">
        <v>187</v>
      </c>
      <c r="J23" s="147" t="s">
        <v>38</v>
      </c>
      <c r="K23" s="162" t="s">
        <v>187</v>
      </c>
      <c r="L23" s="147" t="s">
        <v>38</v>
      </c>
      <c r="M23" s="162" t="s">
        <v>187</v>
      </c>
      <c r="N23" s="147" t="s">
        <v>38</v>
      </c>
      <c r="R23" s="232"/>
    </row>
    <row r="24" spans="1:254">
      <c r="A24" s="274" t="s">
        <v>289</v>
      </c>
      <c r="B24" s="163" t="s">
        <v>114</v>
      </c>
      <c r="C24" s="117" t="s">
        <v>115</v>
      </c>
      <c r="D24" s="117" t="s">
        <v>116</v>
      </c>
      <c r="E24" s="117" t="s">
        <v>117</v>
      </c>
      <c r="F24" s="116" t="s">
        <v>118</v>
      </c>
      <c r="G24" s="163" t="s">
        <v>119</v>
      </c>
      <c r="H24" s="113" t="s">
        <v>120</v>
      </c>
      <c r="I24" s="114">
        <v>8</v>
      </c>
      <c r="J24" s="115">
        <v>9</v>
      </c>
      <c r="K24" s="106">
        <v>10</v>
      </c>
      <c r="L24" s="115">
        <v>11</v>
      </c>
      <c r="M24" s="106">
        <v>12</v>
      </c>
      <c r="N24" s="115">
        <v>13</v>
      </c>
      <c r="O24" s="102"/>
      <c r="P24" s="102"/>
      <c r="Q24" s="102"/>
      <c r="R24" s="148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2"/>
      <c r="DC24" s="102"/>
      <c r="DD24" s="102"/>
      <c r="DE24" s="102"/>
      <c r="DF24" s="102"/>
      <c r="DG24" s="102"/>
      <c r="DH24" s="102"/>
      <c r="DI24" s="102"/>
      <c r="DJ24" s="102"/>
      <c r="DK24" s="102"/>
      <c r="DL24" s="102"/>
      <c r="DM24" s="102"/>
      <c r="DN24" s="102"/>
      <c r="DO24" s="102"/>
      <c r="DP24" s="102"/>
      <c r="DQ24" s="102"/>
      <c r="DR24" s="102"/>
      <c r="DS24" s="102"/>
      <c r="DT24" s="102"/>
      <c r="DU24" s="102"/>
      <c r="DV24" s="102"/>
      <c r="DW24" s="102"/>
      <c r="DX24" s="102"/>
      <c r="DY24" s="102"/>
      <c r="DZ24" s="102"/>
      <c r="EA24" s="102"/>
      <c r="EB24" s="102"/>
      <c r="EC24" s="102"/>
      <c r="ED24" s="102"/>
      <c r="EE24" s="102"/>
      <c r="EF24" s="102"/>
      <c r="EG24" s="102"/>
      <c r="EH24" s="102"/>
      <c r="EI24" s="102"/>
      <c r="EJ24" s="102"/>
      <c r="EK24" s="102"/>
      <c r="EL24" s="102"/>
      <c r="EM24" s="102"/>
      <c r="EN24" s="102"/>
      <c r="EO24" s="102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2"/>
      <c r="FN24" s="102"/>
      <c r="FO24" s="102"/>
      <c r="FP24" s="102"/>
      <c r="FQ24" s="102"/>
      <c r="FR24" s="102"/>
      <c r="FS24" s="102"/>
      <c r="FT24" s="102"/>
      <c r="FU24" s="102"/>
      <c r="FV24" s="102"/>
      <c r="FW24" s="102"/>
      <c r="FX24" s="102"/>
      <c r="FY24" s="102"/>
      <c r="FZ24" s="102"/>
      <c r="GA24" s="102"/>
      <c r="GB24" s="102"/>
      <c r="GC24" s="102"/>
      <c r="GD24" s="102"/>
      <c r="GE24" s="102"/>
      <c r="GF24" s="102"/>
      <c r="GG24" s="102"/>
      <c r="GH24" s="102"/>
      <c r="GI24" s="102"/>
      <c r="GJ24" s="102"/>
      <c r="GK24" s="102"/>
      <c r="GL24" s="102"/>
      <c r="GM24" s="102"/>
      <c r="GN24" s="102"/>
      <c r="GO24" s="102"/>
      <c r="GP24" s="102"/>
      <c r="GQ24" s="102"/>
      <c r="GR24" s="102"/>
      <c r="GS24" s="102"/>
      <c r="GT24" s="102"/>
      <c r="GU24" s="102"/>
      <c r="GV24" s="102"/>
      <c r="GW24" s="102"/>
      <c r="GX24" s="102"/>
      <c r="GY24" s="102"/>
      <c r="GZ24" s="102"/>
      <c r="HA24" s="102"/>
      <c r="HB24" s="102"/>
      <c r="HC24" s="102"/>
      <c r="HD24" s="102"/>
      <c r="HE24" s="102"/>
      <c r="HF24" s="102"/>
      <c r="HG24" s="102"/>
      <c r="HH24" s="102"/>
      <c r="HI24" s="102"/>
      <c r="HJ24" s="102"/>
      <c r="HK24" s="102"/>
      <c r="HL24" s="102"/>
      <c r="HM24" s="102"/>
      <c r="HN24" s="102"/>
      <c r="HO24" s="102"/>
      <c r="HP24" s="102"/>
      <c r="HQ24" s="102"/>
      <c r="HR24" s="102"/>
      <c r="HS24" s="102"/>
      <c r="HT24" s="102"/>
      <c r="HU24" s="102"/>
      <c r="HV24" s="102"/>
      <c r="HW24" s="102"/>
      <c r="HX24" s="102"/>
      <c r="HY24" s="102"/>
      <c r="HZ24" s="102"/>
      <c r="IA24" s="102"/>
      <c r="IB24" s="102"/>
      <c r="IC24" s="102"/>
      <c r="ID24" s="102"/>
      <c r="IE24" s="102"/>
      <c r="IF24" s="102"/>
      <c r="IG24" s="102"/>
      <c r="IH24" s="102"/>
      <c r="II24" s="102"/>
      <c r="IJ24" s="102"/>
    </row>
    <row r="25" spans="1:254" ht="47.25">
      <c r="A25" s="150"/>
      <c r="B25" s="129" t="s">
        <v>126</v>
      </c>
      <c r="C25" s="138" t="s">
        <v>141</v>
      </c>
      <c r="D25" s="139" t="s">
        <v>133</v>
      </c>
      <c r="E25" s="421" t="s">
        <v>203</v>
      </c>
      <c r="F25" s="124"/>
      <c r="G25" s="422" t="s">
        <v>207</v>
      </c>
      <c r="H25" s="423" t="s">
        <v>273</v>
      </c>
      <c r="I25" s="422" t="s">
        <v>207</v>
      </c>
      <c r="J25" s="423" t="s">
        <v>273</v>
      </c>
      <c r="K25" s="422" t="s">
        <v>207</v>
      </c>
      <c r="L25" s="423" t="s">
        <v>273</v>
      </c>
      <c r="M25" s="422"/>
      <c r="N25" s="421"/>
      <c r="O25" s="102">
        <v>0.22900000000000001</v>
      </c>
      <c r="P25" s="102">
        <v>6.6400000000000001E-2</v>
      </c>
      <c r="Q25" s="102">
        <f>P25-O25</f>
        <v>-0.16260000000000002</v>
      </c>
      <c r="R25" s="148">
        <f>35.255/0.229*P25</f>
        <v>10.222410480349344</v>
      </c>
      <c r="S25" s="102">
        <f>35.255-R25</f>
        <v>25.032589519650656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J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X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  <c r="EL25" s="102"/>
      <c r="EM25" s="102"/>
      <c r="EN25" s="102"/>
      <c r="EO25" s="102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2"/>
      <c r="FN25" s="102"/>
      <c r="FO25" s="102"/>
      <c r="FP25" s="102"/>
      <c r="FQ25" s="102"/>
      <c r="FR25" s="102"/>
      <c r="FS25" s="102"/>
      <c r="FT25" s="102"/>
      <c r="FU25" s="102"/>
      <c r="FV25" s="102"/>
      <c r="FW25" s="102"/>
      <c r="FX25" s="102"/>
      <c r="FY25" s="102"/>
      <c r="FZ25" s="102"/>
      <c r="GA25" s="102"/>
      <c r="GB25" s="102"/>
      <c r="GC25" s="102"/>
      <c r="GD25" s="102"/>
      <c r="GE25" s="102"/>
      <c r="GF25" s="102"/>
      <c r="GG25" s="102"/>
      <c r="GH25" s="102"/>
      <c r="GI25" s="102"/>
      <c r="GJ25" s="102"/>
      <c r="GK25" s="102"/>
      <c r="GL25" s="102"/>
      <c r="GM25" s="102"/>
      <c r="GN25" s="102"/>
      <c r="GO25" s="102"/>
      <c r="GP25" s="102"/>
      <c r="GQ25" s="102"/>
      <c r="GR25" s="102"/>
      <c r="GS25" s="102"/>
      <c r="GT25" s="102"/>
      <c r="GU25" s="102"/>
      <c r="GV25" s="102"/>
      <c r="GW25" s="102"/>
      <c r="GX25" s="102"/>
      <c r="GY25" s="102"/>
      <c r="GZ25" s="102"/>
      <c r="HA25" s="102"/>
      <c r="HB25" s="102"/>
      <c r="HC25" s="102"/>
      <c r="HD25" s="102"/>
      <c r="HE25" s="102"/>
      <c r="HF25" s="102"/>
      <c r="HG25" s="102"/>
      <c r="HH25" s="102"/>
      <c r="HI25" s="102"/>
      <c r="HJ25" s="102"/>
      <c r="HK25" s="102"/>
      <c r="HL25" s="102"/>
      <c r="HM25" s="102"/>
      <c r="HN25" s="102"/>
      <c r="HO25" s="102"/>
      <c r="HP25" s="102"/>
      <c r="HQ25" s="102"/>
      <c r="HR25" s="102"/>
      <c r="HS25" s="102"/>
      <c r="HT25" s="102"/>
      <c r="HU25" s="102"/>
      <c r="HV25" s="102"/>
      <c r="HW25" s="102"/>
      <c r="HX25" s="102"/>
      <c r="HY25" s="102"/>
      <c r="HZ25" s="102"/>
      <c r="IA25" s="102"/>
      <c r="IB25" s="102"/>
      <c r="IC25" s="102"/>
      <c r="ID25" s="102"/>
      <c r="IE25" s="102"/>
      <c r="IF25" s="102"/>
      <c r="IG25" s="102"/>
      <c r="IH25" s="102"/>
      <c r="II25" s="102"/>
      <c r="IJ25" s="102"/>
      <c r="IT25" s="233"/>
    </row>
    <row r="26" spans="1:254" ht="31.5">
      <c r="A26" s="150"/>
      <c r="B26" s="132" t="s">
        <v>140</v>
      </c>
      <c r="C26" s="101" t="s">
        <v>174</v>
      </c>
      <c r="D26" s="133" t="s">
        <v>128</v>
      </c>
      <c r="E26" s="134">
        <v>0</v>
      </c>
      <c r="F26" s="126"/>
      <c r="G26" s="126" t="s">
        <v>188</v>
      </c>
      <c r="H26" s="134">
        <v>0</v>
      </c>
      <c r="I26" s="126" t="s">
        <v>188</v>
      </c>
      <c r="J26" s="134">
        <v>0</v>
      </c>
      <c r="K26" s="126" t="s">
        <v>188</v>
      </c>
      <c r="L26" s="134">
        <v>0</v>
      </c>
      <c r="M26" s="126"/>
      <c r="N26" s="134"/>
      <c r="O26" s="102">
        <v>5.7249999999999996</v>
      </c>
      <c r="P26" s="102"/>
      <c r="Q26" s="102"/>
      <c r="R26" s="148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C26" s="102"/>
      <c r="DD26" s="102"/>
      <c r="DE26" s="102"/>
      <c r="DF26" s="102"/>
      <c r="DG26" s="102"/>
      <c r="DH26" s="102"/>
      <c r="DI26" s="102"/>
      <c r="DJ26" s="102"/>
      <c r="DK26" s="102"/>
      <c r="DL26" s="102"/>
      <c r="DM26" s="102"/>
      <c r="DN26" s="102"/>
      <c r="DO26" s="102"/>
      <c r="DP26" s="102"/>
      <c r="DQ26" s="102"/>
      <c r="DR26" s="102"/>
      <c r="DS26" s="102"/>
      <c r="DT26" s="102"/>
      <c r="DU26" s="102"/>
      <c r="DV26" s="102"/>
      <c r="DW26" s="102"/>
      <c r="DX26" s="102"/>
      <c r="DY26" s="102"/>
      <c r="DZ26" s="102"/>
      <c r="EA26" s="102"/>
      <c r="EB26" s="102"/>
      <c r="EC26" s="102"/>
      <c r="ED26" s="102"/>
      <c r="EE26" s="102"/>
      <c r="EF26" s="102"/>
      <c r="EG26" s="102"/>
      <c r="EH26" s="102"/>
      <c r="EI26" s="102"/>
      <c r="EJ26" s="102"/>
      <c r="EK26" s="102"/>
      <c r="EL26" s="102"/>
      <c r="EM26" s="102"/>
      <c r="EN26" s="102"/>
      <c r="EO26" s="102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2"/>
      <c r="FN26" s="102"/>
      <c r="FO26" s="102"/>
      <c r="FP26" s="102"/>
      <c r="FQ26" s="102"/>
      <c r="FR26" s="102"/>
      <c r="FS26" s="102"/>
      <c r="FT26" s="102"/>
      <c r="FU26" s="102"/>
      <c r="FV26" s="102"/>
      <c r="FW26" s="102"/>
      <c r="FX26" s="102"/>
      <c r="FY26" s="102"/>
      <c r="FZ26" s="102"/>
      <c r="GA26" s="102"/>
      <c r="GB26" s="102"/>
      <c r="GC26" s="102"/>
      <c r="GD26" s="102"/>
      <c r="GE26" s="102"/>
      <c r="GF26" s="102"/>
      <c r="GG26" s="102"/>
      <c r="GH26" s="102"/>
      <c r="GI26" s="102"/>
      <c r="GJ26" s="102"/>
      <c r="GK26" s="102"/>
      <c r="GL26" s="102"/>
      <c r="GM26" s="102"/>
      <c r="GN26" s="102"/>
      <c r="GO26" s="102"/>
      <c r="GP26" s="102"/>
      <c r="GQ26" s="102"/>
      <c r="GR26" s="102"/>
      <c r="GS26" s="102"/>
      <c r="GT26" s="102"/>
      <c r="GU26" s="102"/>
      <c r="GV26" s="102"/>
      <c r="GW26" s="102"/>
      <c r="GX26" s="102"/>
      <c r="GY26" s="102"/>
      <c r="GZ26" s="102"/>
      <c r="HA26" s="102"/>
      <c r="HB26" s="102"/>
      <c r="HC26" s="102"/>
      <c r="HD26" s="102"/>
      <c r="HE26" s="102"/>
      <c r="HF26" s="102"/>
      <c r="HG26" s="102"/>
      <c r="HH26" s="102"/>
      <c r="HI26" s="102"/>
      <c r="HJ26" s="102"/>
      <c r="HK26" s="102"/>
      <c r="HL26" s="102"/>
      <c r="HM26" s="102"/>
      <c r="HN26" s="102"/>
      <c r="HO26" s="102"/>
      <c r="HP26" s="102"/>
      <c r="HQ26" s="102"/>
      <c r="HR26" s="102"/>
      <c r="HS26" s="102"/>
      <c r="HT26" s="102"/>
      <c r="HU26" s="102"/>
      <c r="HV26" s="102"/>
      <c r="HW26" s="102"/>
      <c r="HX26" s="102"/>
      <c r="HY26" s="102"/>
      <c r="HZ26" s="102"/>
      <c r="IA26" s="102"/>
      <c r="IB26" s="102"/>
      <c r="IC26" s="102"/>
      <c r="ID26" s="102"/>
      <c r="IE26" s="102"/>
      <c r="IF26" s="102"/>
      <c r="IG26" s="102"/>
      <c r="IH26" s="102"/>
      <c r="II26" s="102"/>
      <c r="IJ26" s="102"/>
      <c r="IT26" s="233"/>
    </row>
    <row r="27" spans="1:254" ht="31.5">
      <c r="A27" s="150"/>
      <c r="B27" s="154" t="s">
        <v>127</v>
      </c>
      <c r="C27" s="130" t="s">
        <v>175</v>
      </c>
      <c r="D27" s="155" t="s">
        <v>128</v>
      </c>
      <c r="E27" s="128">
        <v>0</v>
      </c>
      <c r="F27" s="175"/>
      <c r="G27" s="175" t="s">
        <v>188</v>
      </c>
      <c r="H27" s="128">
        <v>0</v>
      </c>
      <c r="I27" s="175" t="s">
        <v>188</v>
      </c>
      <c r="J27" s="128">
        <v>0</v>
      </c>
      <c r="K27" s="175" t="s">
        <v>188</v>
      </c>
      <c r="L27" s="128">
        <v>0</v>
      </c>
      <c r="M27" s="175"/>
      <c r="N27" s="128"/>
      <c r="O27" s="102">
        <v>1.6970000000000001</v>
      </c>
      <c r="P27" s="102"/>
      <c r="Q27" s="102"/>
      <c r="R27" s="148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C27" s="102"/>
      <c r="DD27" s="102"/>
      <c r="DE27" s="102"/>
      <c r="DF27" s="102"/>
      <c r="DG27" s="102"/>
      <c r="DH27" s="102"/>
      <c r="DI27" s="102"/>
      <c r="DJ27" s="102"/>
      <c r="DK27" s="102"/>
      <c r="DL27" s="102"/>
      <c r="DM27" s="102"/>
      <c r="DN27" s="102"/>
      <c r="DO27" s="102"/>
      <c r="DP27" s="102"/>
      <c r="DQ27" s="102"/>
      <c r="DR27" s="102"/>
      <c r="DS27" s="102"/>
      <c r="DT27" s="102"/>
      <c r="DU27" s="102"/>
      <c r="DV27" s="102"/>
      <c r="DW27" s="102"/>
      <c r="DX27" s="102"/>
      <c r="DY27" s="102"/>
      <c r="DZ27" s="102"/>
      <c r="EA27" s="102"/>
      <c r="EB27" s="102"/>
      <c r="EC27" s="102"/>
      <c r="ED27" s="102"/>
      <c r="EE27" s="102"/>
      <c r="EF27" s="102"/>
      <c r="EG27" s="102"/>
      <c r="EH27" s="102"/>
      <c r="EI27" s="102"/>
      <c r="EJ27" s="102"/>
      <c r="EK27" s="102"/>
      <c r="EL27" s="102"/>
      <c r="EM27" s="102"/>
      <c r="EN27" s="102"/>
      <c r="EO27" s="102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2"/>
      <c r="FN27" s="102"/>
      <c r="FO27" s="102"/>
      <c r="FP27" s="102"/>
      <c r="FQ27" s="102"/>
      <c r="FR27" s="102"/>
      <c r="FS27" s="102"/>
      <c r="FT27" s="102"/>
      <c r="FU27" s="102"/>
      <c r="FV27" s="102"/>
      <c r="FW27" s="102"/>
      <c r="FX27" s="102"/>
      <c r="FY27" s="102"/>
      <c r="FZ27" s="102"/>
      <c r="GA27" s="102"/>
      <c r="GB27" s="102"/>
      <c r="GC27" s="102"/>
      <c r="GD27" s="102"/>
      <c r="GE27" s="102"/>
      <c r="GF27" s="102"/>
      <c r="GG27" s="102"/>
      <c r="GH27" s="102"/>
      <c r="GI27" s="102"/>
      <c r="GJ27" s="102"/>
      <c r="GK27" s="102"/>
      <c r="GL27" s="102"/>
      <c r="GM27" s="102"/>
      <c r="GN27" s="102"/>
      <c r="GO27" s="102"/>
      <c r="GP27" s="102"/>
      <c r="GQ27" s="102"/>
      <c r="GR27" s="102"/>
      <c r="GS27" s="102"/>
      <c r="GT27" s="102"/>
      <c r="GU27" s="102"/>
      <c r="GV27" s="102"/>
      <c r="GW27" s="102"/>
      <c r="GX27" s="102"/>
      <c r="GY27" s="102"/>
      <c r="GZ27" s="102"/>
      <c r="HA27" s="102"/>
      <c r="HB27" s="102"/>
      <c r="HC27" s="102"/>
      <c r="HD27" s="102"/>
      <c r="HE27" s="102"/>
      <c r="HF27" s="102"/>
      <c r="HG27" s="102"/>
      <c r="HH27" s="102"/>
      <c r="HI27" s="102"/>
      <c r="HJ27" s="102"/>
      <c r="HK27" s="102"/>
      <c r="HL27" s="102"/>
      <c r="HM27" s="102"/>
      <c r="HN27" s="102"/>
      <c r="HO27" s="102"/>
      <c r="HP27" s="102"/>
      <c r="HQ27" s="102"/>
      <c r="HR27" s="102"/>
      <c r="HS27" s="102"/>
      <c r="HT27" s="102"/>
      <c r="HU27" s="102"/>
      <c r="HV27" s="102"/>
      <c r="HW27" s="102"/>
      <c r="HX27" s="102"/>
      <c r="HY27" s="102"/>
      <c r="HZ27" s="102"/>
      <c r="IA27" s="102"/>
      <c r="IB27" s="102"/>
      <c r="IC27" s="102"/>
      <c r="ID27" s="102"/>
      <c r="IE27" s="102"/>
      <c r="IF27" s="102"/>
      <c r="IG27" s="102"/>
      <c r="IH27" s="102"/>
      <c r="II27" s="102"/>
      <c r="IJ27" s="102"/>
      <c r="IT27" s="233"/>
    </row>
    <row r="28" spans="1:254">
      <c r="A28" s="150"/>
      <c r="B28" s="132" t="s">
        <v>132</v>
      </c>
      <c r="C28" s="101" t="s">
        <v>176</v>
      </c>
      <c r="D28" s="133" t="s">
        <v>128</v>
      </c>
      <c r="E28" s="134">
        <v>0</v>
      </c>
      <c r="F28" s="126"/>
      <c r="G28" s="126" t="s">
        <v>188</v>
      </c>
      <c r="H28" s="134">
        <v>0</v>
      </c>
      <c r="I28" s="126" t="s">
        <v>188</v>
      </c>
      <c r="J28" s="134">
        <v>0</v>
      </c>
      <c r="K28" s="126" t="s">
        <v>188</v>
      </c>
      <c r="L28" s="134">
        <v>0</v>
      </c>
      <c r="M28" s="126"/>
      <c r="N28" s="134"/>
      <c r="O28" s="102">
        <v>4.2220000000000004</v>
      </c>
      <c r="P28" s="102"/>
      <c r="Q28" s="102"/>
      <c r="R28" s="148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  <c r="EE28" s="102"/>
      <c r="EF28" s="102"/>
      <c r="EG28" s="102"/>
      <c r="EH28" s="102"/>
      <c r="EI28" s="102"/>
      <c r="EJ28" s="102"/>
      <c r="EK28" s="102"/>
      <c r="EL28" s="102"/>
      <c r="EM28" s="102"/>
      <c r="EN28" s="102"/>
      <c r="EO28" s="102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2"/>
      <c r="FN28" s="102"/>
      <c r="FO28" s="102"/>
      <c r="FP28" s="102"/>
      <c r="FQ28" s="102"/>
      <c r="FR28" s="102"/>
      <c r="FS28" s="102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102"/>
      <c r="GG28" s="102"/>
      <c r="GH28" s="102"/>
      <c r="GI28" s="102"/>
      <c r="GJ28" s="102"/>
      <c r="GK28" s="102"/>
      <c r="GL28" s="102"/>
      <c r="GM28" s="102"/>
      <c r="GN28" s="102"/>
      <c r="GO28" s="102"/>
      <c r="GP28" s="102"/>
      <c r="GQ28" s="102"/>
      <c r="GR28" s="102"/>
      <c r="GS28" s="102"/>
      <c r="GT28" s="102"/>
      <c r="GU28" s="102"/>
      <c r="GV28" s="102"/>
      <c r="GW28" s="102"/>
      <c r="GX28" s="102"/>
      <c r="GY28" s="102"/>
      <c r="GZ28" s="102"/>
      <c r="HA28" s="102"/>
      <c r="HB28" s="102"/>
      <c r="HC28" s="102"/>
      <c r="HD28" s="102"/>
      <c r="HE28" s="102"/>
      <c r="HF28" s="102"/>
      <c r="HG28" s="102"/>
      <c r="HH28" s="102"/>
      <c r="HI28" s="102"/>
      <c r="HJ28" s="102"/>
      <c r="HK28" s="102"/>
      <c r="HL28" s="102"/>
      <c r="HM28" s="102"/>
      <c r="HN28" s="102"/>
      <c r="HO28" s="102"/>
      <c r="HP28" s="102"/>
      <c r="HQ28" s="102"/>
      <c r="HR28" s="102"/>
      <c r="HS28" s="102"/>
      <c r="HT28" s="102"/>
      <c r="HU28" s="102"/>
      <c r="HV28" s="102"/>
      <c r="HW28" s="102"/>
      <c r="HX28" s="102"/>
      <c r="HY28" s="102"/>
      <c r="HZ28" s="102"/>
      <c r="IA28" s="102"/>
      <c r="IB28" s="102"/>
      <c r="IC28" s="102"/>
      <c r="ID28" s="102"/>
      <c r="IE28" s="102"/>
      <c r="IF28" s="102"/>
      <c r="IG28" s="102"/>
      <c r="IH28" s="102"/>
      <c r="II28" s="102"/>
      <c r="IJ28" s="102"/>
      <c r="IT28" s="233"/>
    </row>
    <row r="29" spans="1:254">
      <c r="A29" s="150"/>
      <c r="B29" s="129"/>
      <c r="C29" s="158" t="s">
        <v>137</v>
      </c>
      <c r="D29" s="139"/>
      <c r="E29" s="127"/>
      <c r="F29" s="127"/>
      <c r="G29" s="165"/>
      <c r="H29" s="127"/>
      <c r="I29" s="165"/>
      <c r="J29" s="127"/>
      <c r="K29" s="165"/>
      <c r="L29" s="127"/>
      <c r="M29" s="165"/>
      <c r="N29" s="127"/>
      <c r="O29" s="102"/>
      <c r="P29" s="102"/>
      <c r="Q29" s="102"/>
      <c r="R29" s="148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/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  <c r="ED29" s="102"/>
      <c r="EE29" s="102"/>
      <c r="EF29" s="102"/>
      <c r="EG29" s="102"/>
      <c r="EH29" s="102"/>
      <c r="EI29" s="102"/>
      <c r="EJ29" s="102"/>
      <c r="EK29" s="102"/>
      <c r="EL29" s="102"/>
      <c r="EM29" s="102"/>
      <c r="EN29" s="102"/>
      <c r="EO29" s="102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2"/>
      <c r="FN29" s="102"/>
      <c r="FO29" s="102"/>
      <c r="FP29" s="102"/>
      <c r="FQ29" s="102"/>
      <c r="FR29" s="102"/>
      <c r="FS29" s="102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102"/>
      <c r="GG29" s="102"/>
      <c r="GH29" s="102"/>
      <c r="GI29" s="102"/>
      <c r="GJ29" s="102"/>
      <c r="GK29" s="102"/>
      <c r="GL29" s="102"/>
      <c r="GM29" s="102"/>
      <c r="GN29" s="102"/>
      <c r="GO29" s="102"/>
      <c r="GP29" s="102"/>
      <c r="GQ29" s="102"/>
      <c r="GR29" s="102"/>
      <c r="GS29" s="102"/>
      <c r="GT29" s="102"/>
      <c r="GU29" s="102"/>
      <c r="GV29" s="102"/>
      <c r="GW29" s="102"/>
      <c r="GX29" s="102"/>
      <c r="GY29" s="102"/>
      <c r="GZ29" s="102"/>
      <c r="HA29" s="102"/>
      <c r="HB29" s="102"/>
      <c r="HC29" s="102"/>
      <c r="HD29" s="102"/>
      <c r="HE29" s="102"/>
      <c r="HF29" s="102"/>
      <c r="HG29" s="102"/>
      <c r="HH29" s="102"/>
      <c r="HI29" s="102"/>
      <c r="HJ29" s="102"/>
      <c r="HK29" s="102"/>
      <c r="HL29" s="102"/>
      <c r="HM29" s="102"/>
      <c r="HN29" s="102"/>
      <c r="HO29" s="102"/>
      <c r="HP29" s="102"/>
      <c r="HQ29" s="102"/>
      <c r="HR29" s="102"/>
      <c r="HS29" s="102"/>
      <c r="HT29" s="102"/>
      <c r="HU29" s="102"/>
      <c r="HV29" s="102"/>
      <c r="HW29" s="102"/>
      <c r="HX29" s="102"/>
      <c r="HY29" s="102"/>
      <c r="HZ29" s="102"/>
      <c r="IA29" s="102"/>
      <c r="IB29" s="102"/>
      <c r="IC29" s="102"/>
      <c r="ID29" s="102"/>
      <c r="IE29" s="102"/>
      <c r="IF29" s="102"/>
      <c r="IG29" s="102"/>
      <c r="IH29" s="102"/>
      <c r="II29" s="102"/>
      <c r="IJ29" s="102"/>
      <c r="IT29" s="233"/>
    </row>
    <row r="30" spans="1:254" ht="94.5" customHeight="1">
      <c r="A30" s="150"/>
      <c r="B30" s="129" t="s">
        <v>134</v>
      </c>
      <c r="C30" s="180" t="s">
        <v>183</v>
      </c>
      <c r="D30" s="139" t="s">
        <v>131</v>
      </c>
      <c r="E30" s="124">
        <v>4328.9399999999996</v>
      </c>
      <c r="F30" s="124"/>
      <c r="G30" s="191" t="s">
        <v>188</v>
      </c>
      <c r="H30" s="124">
        <v>4328.9399999999996</v>
      </c>
      <c r="I30" s="176">
        <v>-42.762</v>
      </c>
      <c r="J30" s="198">
        <v>4286.1779999999999</v>
      </c>
      <c r="K30" s="350">
        <v>-604.59500000000003</v>
      </c>
      <c r="L30" s="351">
        <v>3681.5830000000001</v>
      </c>
      <c r="M30" s="176"/>
      <c r="N30" s="198"/>
      <c r="O30" s="102">
        <f>(O28+O27+O26+O17+O15+O7)*40</f>
        <v>9811.6400000000012</v>
      </c>
      <c r="P30" s="153">
        <v>3085.3319999999999</v>
      </c>
      <c r="Q30" s="153">
        <f>P30-E30</f>
        <v>-1243.6079999999997</v>
      </c>
      <c r="R30" s="185">
        <f>L30-J30</f>
        <v>-604.5949999999998</v>
      </c>
      <c r="S30" s="102">
        <v>4328.9399999999996</v>
      </c>
      <c r="T30" s="153">
        <f>S30-L30</f>
        <v>647.35699999999952</v>
      </c>
      <c r="U30" s="102">
        <f>60*65.99/1000*10.8</f>
        <v>42.761519999999997</v>
      </c>
      <c r="V30" s="153">
        <f>H30-U30</f>
        <v>4286.1784799999996</v>
      </c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2"/>
      <c r="FN30" s="102"/>
      <c r="FO30" s="102"/>
      <c r="FP30" s="102"/>
      <c r="FQ30" s="102"/>
      <c r="FR30" s="102"/>
      <c r="FS30" s="102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102"/>
      <c r="GG30" s="102"/>
      <c r="GH30" s="102"/>
      <c r="GI30" s="102"/>
      <c r="GJ30" s="102"/>
      <c r="GK30" s="102"/>
      <c r="GL30" s="102"/>
      <c r="GM30" s="102"/>
      <c r="GN30" s="102"/>
      <c r="GO30" s="102"/>
      <c r="GP30" s="102"/>
      <c r="GQ30" s="102"/>
      <c r="GR30" s="102"/>
      <c r="GS30" s="102"/>
      <c r="GT30" s="102"/>
      <c r="GU30" s="102"/>
      <c r="GV30" s="102"/>
      <c r="GW30" s="102"/>
      <c r="GX30" s="102"/>
      <c r="GY30" s="102"/>
      <c r="GZ30" s="102"/>
      <c r="HA30" s="102"/>
      <c r="HB30" s="102"/>
      <c r="HC30" s="102"/>
      <c r="HD30" s="102"/>
      <c r="HE30" s="102"/>
      <c r="HF30" s="102"/>
      <c r="HG30" s="102"/>
      <c r="HH30" s="102"/>
      <c r="HI30" s="102"/>
      <c r="HJ30" s="102"/>
      <c r="HK30" s="102"/>
      <c r="HL30" s="102"/>
      <c r="HM30" s="102"/>
      <c r="HN30" s="102"/>
      <c r="HO30" s="102"/>
      <c r="HP30" s="102"/>
      <c r="HQ30" s="102"/>
      <c r="HR30" s="102"/>
      <c r="HS30" s="102"/>
      <c r="HT30" s="102"/>
      <c r="HU30" s="102"/>
      <c r="HV30" s="102"/>
      <c r="HW30" s="102"/>
      <c r="HX30" s="102"/>
      <c r="HY30" s="102"/>
      <c r="HZ30" s="102"/>
      <c r="IA30" s="102"/>
      <c r="IB30" s="102"/>
      <c r="IC30" s="102"/>
      <c r="ID30" s="102"/>
      <c r="IE30" s="102"/>
      <c r="IF30" s="102"/>
      <c r="IG30" s="102"/>
      <c r="IH30" s="102"/>
      <c r="II30" s="102"/>
      <c r="IJ30" s="102"/>
    </row>
    <row r="31" spans="1:254">
      <c r="A31" s="150"/>
      <c r="B31" s="129"/>
      <c r="C31" s="158" t="s">
        <v>138</v>
      </c>
      <c r="D31" s="139"/>
      <c r="E31" s="127"/>
      <c r="F31" s="127"/>
      <c r="G31" s="165"/>
      <c r="H31" s="127"/>
      <c r="I31" s="165"/>
      <c r="J31" s="127"/>
      <c r="K31" s="165"/>
      <c r="L31" s="127"/>
      <c r="M31" s="165"/>
      <c r="N31" s="127"/>
      <c r="O31" s="102"/>
      <c r="P31" s="102"/>
      <c r="Q31" s="102"/>
      <c r="R31" s="148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2"/>
      <c r="FN31" s="102"/>
      <c r="FO31" s="102"/>
      <c r="FP31" s="102"/>
      <c r="FQ31" s="102"/>
      <c r="FR31" s="102"/>
      <c r="FS31" s="102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102"/>
      <c r="GG31" s="102"/>
      <c r="GH31" s="102"/>
      <c r="GI31" s="102"/>
      <c r="GJ31" s="102"/>
      <c r="GK31" s="102"/>
      <c r="GL31" s="102"/>
      <c r="GM31" s="102"/>
      <c r="GN31" s="102"/>
      <c r="GO31" s="102"/>
      <c r="GP31" s="102"/>
      <c r="GQ31" s="102"/>
      <c r="GR31" s="102"/>
      <c r="GS31" s="102"/>
      <c r="GT31" s="102"/>
      <c r="GU31" s="102"/>
      <c r="GV31" s="102"/>
      <c r="GW31" s="102"/>
      <c r="GX31" s="102"/>
      <c r="GY31" s="102"/>
      <c r="GZ31" s="102"/>
      <c r="HA31" s="102"/>
      <c r="HB31" s="102"/>
      <c r="HC31" s="102"/>
      <c r="HD31" s="102"/>
      <c r="HE31" s="102"/>
      <c r="HF31" s="102"/>
      <c r="HG31" s="102"/>
      <c r="HH31" s="102"/>
      <c r="HI31" s="102"/>
      <c r="HJ31" s="102"/>
      <c r="HK31" s="102"/>
      <c r="HL31" s="102"/>
      <c r="HM31" s="102"/>
      <c r="HN31" s="102"/>
      <c r="HO31" s="102"/>
      <c r="HP31" s="102"/>
      <c r="HQ31" s="102"/>
      <c r="HR31" s="102"/>
      <c r="HS31" s="102"/>
      <c r="HT31" s="102"/>
      <c r="HU31" s="102"/>
      <c r="HV31" s="102"/>
      <c r="HW31" s="102"/>
      <c r="HX31" s="102"/>
      <c r="HY31" s="102"/>
      <c r="HZ31" s="102"/>
      <c r="IA31" s="102"/>
      <c r="IB31" s="102"/>
      <c r="IC31" s="102"/>
      <c r="ID31" s="102"/>
      <c r="IE31" s="102"/>
      <c r="IF31" s="102"/>
      <c r="IG31" s="102"/>
      <c r="IH31" s="102"/>
      <c r="II31" s="102"/>
      <c r="IJ31" s="102"/>
    </row>
    <row r="32" spans="1:254" ht="170.25" customHeight="1">
      <c r="A32" s="150"/>
      <c r="B32" s="132" t="s">
        <v>135</v>
      </c>
      <c r="C32" s="325" t="s">
        <v>306</v>
      </c>
      <c r="D32" s="133" t="s">
        <v>131</v>
      </c>
      <c r="E32" s="126">
        <v>2318.6999999999998</v>
      </c>
      <c r="F32" s="126"/>
      <c r="G32" s="189" t="s">
        <v>188</v>
      </c>
      <c r="H32" s="126">
        <v>2318.6999999999998</v>
      </c>
      <c r="I32" s="189" t="s">
        <v>188</v>
      </c>
      <c r="J32" s="126">
        <v>2318.6999999999998</v>
      </c>
      <c r="K32" s="189" t="s">
        <v>188</v>
      </c>
      <c r="L32" s="126">
        <v>2318.6999999999998</v>
      </c>
      <c r="M32" s="202"/>
      <c r="N32" s="222"/>
      <c r="O32" s="102">
        <f>(60.686+5.784)*40</f>
        <v>2658.8</v>
      </c>
      <c r="P32" s="102">
        <v>489.33199999999999</v>
      </c>
      <c r="Q32" s="153">
        <f>P32-E32</f>
        <v>-1829.3679999999999</v>
      </c>
      <c r="R32" s="148">
        <v>2235.8200000000002</v>
      </c>
      <c r="S32" s="153">
        <f>U32-J32</f>
        <v>-1188.2274</v>
      </c>
      <c r="T32" s="102">
        <f>16.108*20.4+4.063*30.1+0.095*6.6+2.275*7.3+0.366*13+0.018*21.5+0.671*25.7+0.226*32.1+0.013*42.7+6.051*32.1+0.286*63.9+1.148*51.1+6.03*21.5+10.155*25.7+2.234*32.1</f>
        <v>1231.8485999999998</v>
      </c>
      <c r="U32" s="102">
        <f>T32-U33</f>
        <v>1130.4725999999998</v>
      </c>
      <c r="V32" s="206">
        <v>2318.71</v>
      </c>
      <c r="W32" s="205">
        <f>V32-L32</f>
        <v>1.0000000000218279E-2</v>
      </c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2"/>
      <c r="FN32" s="102"/>
      <c r="FO32" s="102"/>
      <c r="FP32" s="102"/>
      <c r="FQ32" s="102"/>
      <c r="FR32" s="102"/>
      <c r="FS32" s="102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102"/>
      <c r="GG32" s="102"/>
      <c r="GH32" s="102"/>
      <c r="GI32" s="102"/>
      <c r="GJ32" s="102"/>
      <c r="GK32" s="102"/>
      <c r="GL32" s="102"/>
      <c r="GM32" s="102"/>
      <c r="GN32" s="102"/>
      <c r="GO32" s="102"/>
      <c r="GP32" s="102"/>
      <c r="GQ32" s="102"/>
      <c r="GR32" s="102"/>
      <c r="GS32" s="102"/>
      <c r="GT32" s="102"/>
      <c r="GU32" s="102"/>
      <c r="GV32" s="102"/>
      <c r="GW32" s="102"/>
      <c r="GX32" s="102"/>
      <c r="GY32" s="102"/>
      <c r="GZ32" s="102"/>
      <c r="HA32" s="102"/>
      <c r="HB32" s="102"/>
      <c r="HC32" s="102"/>
      <c r="HD32" s="102"/>
      <c r="HE32" s="102"/>
      <c r="HF32" s="102"/>
      <c r="HG32" s="102"/>
      <c r="HH32" s="102"/>
      <c r="HI32" s="102"/>
      <c r="HJ32" s="102"/>
      <c r="HK32" s="102"/>
      <c r="HL32" s="102"/>
      <c r="HM32" s="102"/>
      <c r="HN32" s="102"/>
      <c r="HO32" s="102"/>
      <c r="HP32" s="102"/>
      <c r="HQ32" s="102"/>
      <c r="HR32" s="102"/>
      <c r="HS32" s="102"/>
      <c r="HT32" s="102"/>
      <c r="HU32" s="102"/>
      <c r="HV32" s="102"/>
      <c r="HW32" s="102"/>
      <c r="HX32" s="102"/>
      <c r="HY32" s="102"/>
      <c r="HZ32" s="102"/>
      <c r="IA32" s="102"/>
      <c r="IB32" s="102"/>
      <c r="IC32" s="102"/>
      <c r="ID32" s="102"/>
      <c r="IE32" s="102"/>
      <c r="IF32" s="102"/>
      <c r="IG32" s="102"/>
      <c r="IH32" s="102"/>
      <c r="II32" s="102"/>
      <c r="IJ32" s="102"/>
    </row>
    <row r="33" spans="1:254" ht="94.5">
      <c r="A33" s="150"/>
      <c r="B33" s="132" t="s">
        <v>169</v>
      </c>
      <c r="C33" s="326" t="s">
        <v>307</v>
      </c>
      <c r="D33" s="133" t="s">
        <v>131</v>
      </c>
      <c r="E33" s="126">
        <v>101.376</v>
      </c>
      <c r="F33" s="126"/>
      <c r="G33" s="165" t="s">
        <v>188</v>
      </c>
      <c r="H33" s="126">
        <v>101.376</v>
      </c>
      <c r="I33" s="165" t="s">
        <v>188</v>
      </c>
      <c r="J33" s="126">
        <v>101.376</v>
      </c>
      <c r="K33" s="165" t="s">
        <v>188</v>
      </c>
      <c r="L33" s="126">
        <v>101.376</v>
      </c>
      <c r="M33" s="165"/>
      <c r="N33" s="126"/>
      <c r="O33" s="102">
        <f>(1.1+0.706+1.025+0.308+0.65+0.433)*40</f>
        <v>168.88</v>
      </c>
      <c r="P33" s="102">
        <v>101.376</v>
      </c>
      <c r="Q33" s="102"/>
      <c r="R33" s="148"/>
      <c r="S33" s="102"/>
      <c r="T33" s="102"/>
      <c r="U33" s="102">
        <v>101.376</v>
      </c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2"/>
      <c r="FO33" s="102"/>
      <c r="FP33" s="102"/>
      <c r="FQ33" s="102"/>
      <c r="FR33" s="102"/>
      <c r="FS33" s="102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102"/>
      <c r="GG33" s="102"/>
      <c r="GH33" s="102"/>
      <c r="GI33" s="102"/>
      <c r="GJ33" s="102"/>
      <c r="GK33" s="102"/>
      <c r="GL33" s="102"/>
      <c r="GM33" s="102"/>
      <c r="GN33" s="102"/>
      <c r="GO33" s="102"/>
      <c r="GP33" s="102"/>
      <c r="GQ33" s="102"/>
      <c r="GR33" s="102"/>
      <c r="GS33" s="102"/>
      <c r="GT33" s="102"/>
      <c r="GU33" s="102"/>
      <c r="GV33" s="102"/>
      <c r="GW33" s="102"/>
      <c r="GX33" s="102"/>
      <c r="GY33" s="102"/>
      <c r="GZ33" s="102"/>
      <c r="HA33" s="102"/>
      <c r="HB33" s="102"/>
      <c r="HC33" s="102"/>
      <c r="HD33" s="102"/>
      <c r="HE33" s="102"/>
      <c r="HF33" s="102"/>
      <c r="HG33" s="102"/>
      <c r="HH33" s="102"/>
      <c r="HI33" s="102"/>
      <c r="HJ33" s="102"/>
      <c r="HK33" s="102"/>
      <c r="HL33" s="102"/>
      <c r="HM33" s="102"/>
      <c r="HN33" s="102"/>
      <c r="HO33" s="102"/>
      <c r="HP33" s="102"/>
      <c r="HQ33" s="102"/>
      <c r="HR33" s="102"/>
      <c r="HS33" s="102"/>
      <c r="HT33" s="102"/>
      <c r="HU33" s="102"/>
      <c r="HV33" s="102"/>
      <c r="HW33" s="102"/>
      <c r="HX33" s="102"/>
      <c r="HY33" s="102"/>
      <c r="HZ33" s="102"/>
      <c r="IA33" s="102"/>
      <c r="IB33" s="102"/>
      <c r="IC33" s="102"/>
      <c r="ID33" s="102"/>
      <c r="IE33" s="102"/>
      <c r="IF33" s="102"/>
      <c r="IG33" s="102"/>
      <c r="IH33" s="102"/>
      <c r="II33" s="102"/>
      <c r="IJ33" s="102"/>
    </row>
    <row r="34" spans="1:254" ht="69.75" customHeight="1" thickBot="1">
      <c r="A34" s="150"/>
      <c r="B34" s="208" t="s">
        <v>205</v>
      </c>
      <c r="C34" s="329" t="s">
        <v>308</v>
      </c>
      <c r="D34" s="131" t="s">
        <v>131</v>
      </c>
      <c r="E34" s="209">
        <v>1209.04</v>
      </c>
      <c r="F34" s="209"/>
      <c r="G34" s="209" t="s">
        <v>188</v>
      </c>
      <c r="H34" s="209">
        <v>1209.04</v>
      </c>
      <c r="I34" s="209" t="s">
        <v>188</v>
      </c>
      <c r="J34" s="209">
        <v>1209.04</v>
      </c>
      <c r="K34" s="209" t="s">
        <v>188</v>
      </c>
      <c r="L34" s="209">
        <v>1209.04</v>
      </c>
      <c r="M34" s="209"/>
      <c r="N34" s="209"/>
      <c r="O34" s="102"/>
      <c r="P34" s="102"/>
      <c r="Q34" s="102"/>
      <c r="R34" s="148"/>
      <c r="S34" s="102"/>
      <c r="T34" s="102">
        <f>23.868*32+1.438*32.1+0.042*63.9+4.746+22.7+0.374*13+1.375*21.5+0.055*25.7+0.035*32.1+2.534*26.3+1.473*29.5+2.257*51.1+0.13*63.9+0.337*25.7+2.441*32.1+0.087*42.7+0.58*13</f>
        <v>1209.0364</v>
      </c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2"/>
      <c r="FP34" s="102"/>
      <c r="FQ34" s="102"/>
      <c r="FR34" s="102"/>
      <c r="FS34" s="102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102"/>
      <c r="GG34" s="102"/>
      <c r="GH34" s="102"/>
      <c r="GI34" s="102"/>
      <c r="GJ34" s="102"/>
      <c r="GK34" s="102"/>
      <c r="GL34" s="102"/>
      <c r="GM34" s="102"/>
      <c r="GN34" s="102"/>
      <c r="GO34" s="102"/>
      <c r="GP34" s="102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2"/>
      <c r="HP34" s="102"/>
      <c r="HQ34" s="102"/>
      <c r="HR34" s="102"/>
      <c r="HS34" s="102"/>
      <c r="HT34" s="102"/>
      <c r="HU34" s="102"/>
      <c r="HV34" s="102"/>
      <c r="HW34" s="102"/>
      <c r="HX34" s="102"/>
      <c r="HY34" s="102"/>
      <c r="HZ34" s="102"/>
      <c r="IA34" s="102"/>
      <c r="IB34" s="102"/>
      <c r="IC34" s="102"/>
      <c r="ID34" s="102"/>
      <c r="IE34" s="102"/>
      <c r="IF34" s="102"/>
      <c r="IG34" s="102"/>
      <c r="IH34" s="102"/>
      <c r="II34" s="102"/>
      <c r="IJ34" s="102"/>
    </row>
    <row r="35" spans="1:254">
      <c r="A35" s="150"/>
      <c r="B35" s="186" t="s">
        <v>4</v>
      </c>
      <c r="C35" s="190" t="s">
        <v>142</v>
      </c>
      <c r="D35" s="234"/>
      <c r="E35" s="234"/>
      <c r="F35" s="262"/>
      <c r="G35" s="288"/>
      <c r="H35" s="234"/>
      <c r="I35" s="288"/>
      <c r="J35" s="234"/>
      <c r="K35" s="288"/>
      <c r="L35" s="234"/>
      <c r="M35" s="288"/>
      <c r="N35" s="234"/>
      <c r="O35" s="102"/>
      <c r="P35" s="102"/>
      <c r="Q35" s="102"/>
      <c r="R35" s="148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2"/>
      <c r="FN35" s="102"/>
      <c r="FO35" s="102"/>
      <c r="FP35" s="102"/>
      <c r="FQ35" s="102"/>
      <c r="FR35" s="102"/>
      <c r="FS35" s="102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102"/>
      <c r="GG35" s="102"/>
      <c r="GH35" s="102"/>
      <c r="GI35" s="102"/>
      <c r="GJ35" s="102"/>
      <c r="GK35" s="102"/>
      <c r="GL35" s="102"/>
      <c r="GM35" s="102"/>
      <c r="GN35" s="102"/>
      <c r="GO35" s="102"/>
      <c r="GP35" s="102"/>
      <c r="GQ35" s="102"/>
      <c r="GR35" s="102"/>
      <c r="GS35" s="102"/>
      <c r="GT35" s="102"/>
      <c r="GU35" s="102"/>
      <c r="GV35" s="102"/>
      <c r="GW35" s="102"/>
      <c r="GX35" s="102"/>
      <c r="GY35" s="102"/>
      <c r="GZ35" s="102"/>
      <c r="HA35" s="102"/>
      <c r="HB35" s="102"/>
      <c r="HC35" s="102"/>
      <c r="HD35" s="102"/>
      <c r="HE35" s="102"/>
      <c r="HF35" s="102"/>
      <c r="HG35" s="102"/>
      <c r="HH35" s="102"/>
      <c r="HI35" s="102"/>
      <c r="HJ35" s="102"/>
      <c r="HK35" s="102"/>
      <c r="HL35" s="102"/>
      <c r="HM35" s="102"/>
      <c r="HN35" s="102"/>
      <c r="HO35" s="102"/>
      <c r="HP35" s="102"/>
      <c r="HQ35" s="102"/>
      <c r="HR35" s="102"/>
      <c r="HS35" s="102"/>
      <c r="HT35" s="102"/>
      <c r="HU35" s="102"/>
      <c r="HV35" s="102"/>
      <c r="HW35" s="102"/>
      <c r="HX35" s="102"/>
      <c r="HY35" s="102"/>
      <c r="HZ35" s="102"/>
      <c r="IA35" s="102"/>
      <c r="IB35" s="102"/>
      <c r="IC35" s="102"/>
      <c r="ID35" s="102"/>
      <c r="IE35" s="102"/>
      <c r="IF35" s="102"/>
      <c r="IG35" s="102"/>
      <c r="IH35" s="102"/>
      <c r="II35" s="102"/>
      <c r="IJ35" s="102"/>
      <c r="IT35" s="233"/>
    </row>
    <row r="36" spans="1:254" ht="47.25">
      <c r="A36" s="150"/>
      <c r="B36" s="132" t="s">
        <v>143</v>
      </c>
      <c r="C36" s="101" t="s">
        <v>185</v>
      </c>
      <c r="D36" s="133" t="s">
        <v>144</v>
      </c>
      <c r="E36" s="430">
        <v>823.95600000000002</v>
      </c>
      <c r="F36" s="126"/>
      <c r="G36" s="189" t="s">
        <v>188</v>
      </c>
      <c r="H36" s="430">
        <v>823.95600000000002</v>
      </c>
      <c r="I36" s="189" t="s">
        <v>188</v>
      </c>
      <c r="J36" s="430">
        <v>823.95600000000002</v>
      </c>
      <c r="K36" s="189" t="s">
        <v>188</v>
      </c>
      <c r="L36" s="430">
        <v>823.95600000000002</v>
      </c>
      <c r="M36" s="189"/>
      <c r="N36" s="430"/>
      <c r="O36" s="102">
        <f>1*7.63*110+0.24*7.63*2+1*9.57*1+0.525*9.57*2</f>
        <v>862.58090000000004</v>
      </c>
      <c r="P36" s="102">
        <f>108*1*7.29+4*0.6*7.29+2*1*9.57</f>
        <v>823.95600000000002</v>
      </c>
      <c r="Q36" s="153">
        <f>P36-H36</f>
        <v>0</v>
      </c>
      <c r="R36" s="148"/>
      <c r="S36" s="153">
        <f>L32+L33+L34</f>
        <v>3629.116</v>
      </c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2"/>
      <c r="FN36" s="102"/>
      <c r="FO36" s="102"/>
      <c r="FP36" s="102"/>
      <c r="FQ36" s="102"/>
      <c r="FR36" s="102"/>
      <c r="FS36" s="102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102"/>
      <c r="GG36" s="102"/>
      <c r="GH36" s="102"/>
      <c r="GI36" s="102"/>
      <c r="GJ36" s="102"/>
      <c r="GK36" s="102"/>
      <c r="GL36" s="102"/>
      <c r="GM36" s="102"/>
      <c r="GN36" s="102"/>
      <c r="GO36" s="102"/>
      <c r="GP36" s="102"/>
      <c r="GQ36" s="102"/>
      <c r="GR36" s="102"/>
      <c r="GS36" s="102"/>
      <c r="GT36" s="102"/>
      <c r="GU36" s="102"/>
      <c r="GV36" s="102"/>
      <c r="GW36" s="102"/>
      <c r="GX36" s="102"/>
      <c r="GY36" s="102"/>
      <c r="GZ36" s="102"/>
      <c r="HA36" s="102"/>
      <c r="HB36" s="102"/>
      <c r="HC36" s="102"/>
      <c r="HD36" s="102"/>
      <c r="HE36" s="102"/>
      <c r="HF36" s="102"/>
      <c r="HG36" s="102"/>
      <c r="HH36" s="102"/>
      <c r="HI36" s="102"/>
      <c r="HJ36" s="102"/>
      <c r="HK36" s="102"/>
      <c r="HL36" s="102"/>
      <c r="HM36" s="102"/>
      <c r="HN36" s="102"/>
      <c r="HO36" s="102"/>
      <c r="HP36" s="102"/>
      <c r="HQ36" s="102"/>
      <c r="HR36" s="102"/>
      <c r="HS36" s="102"/>
      <c r="HT36" s="102"/>
      <c r="HU36" s="102"/>
      <c r="HV36" s="102"/>
      <c r="HW36" s="102"/>
      <c r="HX36" s="102"/>
      <c r="HY36" s="102"/>
      <c r="HZ36" s="102"/>
      <c r="IA36" s="102"/>
      <c r="IB36" s="102"/>
      <c r="IC36" s="102"/>
      <c r="ID36" s="102"/>
      <c r="IE36" s="102"/>
      <c r="IF36" s="102"/>
      <c r="IG36" s="102"/>
      <c r="IH36" s="102"/>
      <c r="II36" s="102"/>
      <c r="IJ36" s="102"/>
      <c r="IT36" s="233" t="s">
        <v>336</v>
      </c>
    </row>
    <row r="37" spans="1:254" ht="111" customHeight="1" thickBot="1">
      <c r="A37" s="265" t="s">
        <v>289</v>
      </c>
      <c r="B37" s="268"/>
      <c r="C37" s="269"/>
      <c r="D37" s="270"/>
      <c r="E37" s="431"/>
      <c r="F37" s="271"/>
      <c r="G37" s="276"/>
      <c r="H37" s="431"/>
      <c r="I37" s="276"/>
      <c r="J37" s="431"/>
      <c r="K37" s="276"/>
      <c r="L37" s="431"/>
      <c r="M37" s="276"/>
      <c r="N37" s="432"/>
      <c r="O37" s="102"/>
      <c r="P37" s="102"/>
      <c r="Q37" s="153"/>
      <c r="R37" s="148"/>
      <c r="S37" s="153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2"/>
      <c r="FN37" s="102"/>
      <c r="FO37" s="102"/>
      <c r="FP37" s="102"/>
      <c r="FQ37" s="102"/>
      <c r="FR37" s="102"/>
      <c r="FS37" s="102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102"/>
      <c r="GG37" s="102"/>
      <c r="GH37" s="102"/>
      <c r="GI37" s="102"/>
      <c r="GJ37" s="102"/>
      <c r="GK37" s="102"/>
      <c r="GL37" s="102"/>
      <c r="GM37" s="102"/>
      <c r="GN37" s="102"/>
      <c r="GO37" s="102"/>
      <c r="GP37" s="102"/>
      <c r="GQ37" s="102"/>
      <c r="GR37" s="102"/>
      <c r="GS37" s="102"/>
      <c r="GT37" s="102"/>
      <c r="GU37" s="102"/>
      <c r="GV37" s="102"/>
      <c r="GW37" s="102"/>
      <c r="GX37" s="102"/>
      <c r="GY37" s="102"/>
      <c r="GZ37" s="102"/>
      <c r="HA37" s="102"/>
      <c r="HB37" s="102"/>
      <c r="HC37" s="102"/>
      <c r="HD37" s="102"/>
      <c r="HE37" s="102"/>
      <c r="HF37" s="102"/>
      <c r="HG37" s="102"/>
      <c r="HH37" s="102"/>
      <c r="HI37" s="102"/>
      <c r="HJ37" s="102"/>
      <c r="HK37" s="102"/>
      <c r="HL37" s="102"/>
      <c r="HM37" s="102"/>
      <c r="HN37" s="102"/>
      <c r="HO37" s="102"/>
      <c r="HP37" s="102"/>
      <c r="HQ37" s="102"/>
      <c r="HR37" s="102"/>
      <c r="HS37" s="102"/>
      <c r="HT37" s="102"/>
      <c r="HU37" s="102"/>
      <c r="HV37" s="102"/>
      <c r="HW37" s="102"/>
      <c r="HX37" s="102"/>
      <c r="HY37" s="102"/>
      <c r="HZ37" s="102"/>
      <c r="IA37" s="102"/>
      <c r="IB37" s="102"/>
      <c r="IC37" s="102"/>
      <c r="ID37" s="102"/>
      <c r="IE37" s="102"/>
      <c r="IF37" s="102"/>
      <c r="IG37" s="102"/>
      <c r="IH37" s="102"/>
      <c r="II37" s="102"/>
      <c r="IJ37" s="102"/>
      <c r="IT37" s="233"/>
    </row>
    <row r="38" spans="1:254" ht="30" customHeight="1" thickBot="1">
      <c r="A38" s="265" t="s">
        <v>289</v>
      </c>
      <c r="B38" s="275"/>
      <c r="C38" s="278"/>
      <c r="D38" s="279"/>
      <c r="E38" s="433"/>
      <c r="F38" s="280"/>
      <c r="G38" s="281"/>
      <c r="H38" s="433"/>
      <c r="I38" s="281"/>
      <c r="J38" s="433"/>
      <c r="K38" s="281"/>
      <c r="L38" s="433"/>
      <c r="M38" s="281"/>
      <c r="N38" s="433"/>
      <c r="O38" s="102"/>
      <c r="P38" s="102"/>
      <c r="Q38" s="153"/>
      <c r="R38" s="148"/>
      <c r="S38" s="153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2"/>
      <c r="FN38" s="102"/>
      <c r="FO38" s="102"/>
      <c r="FP38" s="102"/>
      <c r="FQ38" s="102"/>
      <c r="FR38" s="102"/>
      <c r="FS38" s="102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102"/>
      <c r="GG38" s="102"/>
      <c r="GH38" s="102"/>
      <c r="GI38" s="102"/>
      <c r="GJ38" s="102"/>
      <c r="GK38" s="102"/>
      <c r="GL38" s="102"/>
      <c r="GM38" s="102"/>
      <c r="GN38" s="102"/>
      <c r="GO38" s="102"/>
      <c r="GP38" s="102"/>
      <c r="GQ38" s="102"/>
      <c r="GR38" s="102"/>
      <c r="GS38" s="102"/>
      <c r="GT38" s="102"/>
      <c r="GU38" s="102"/>
      <c r="GV38" s="102"/>
      <c r="GW38" s="102"/>
      <c r="GX38" s="102"/>
      <c r="GY38" s="102"/>
      <c r="GZ38" s="102"/>
      <c r="HA38" s="102"/>
      <c r="HB38" s="102"/>
      <c r="HC38" s="102"/>
      <c r="HD38" s="102"/>
      <c r="HE38" s="102"/>
      <c r="HF38" s="102"/>
      <c r="HG38" s="102"/>
      <c r="HH38" s="102"/>
      <c r="HI38" s="102"/>
      <c r="HJ38" s="102"/>
      <c r="HK38" s="102"/>
      <c r="HL38" s="102"/>
      <c r="HM38" s="102"/>
      <c r="HN38" s="102"/>
      <c r="HO38" s="102"/>
      <c r="HP38" s="102"/>
      <c r="HQ38" s="102"/>
      <c r="HR38" s="102"/>
      <c r="HS38" s="102"/>
      <c r="HT38" s="102"/>
      <c r="HU38" s="102"/>
      <c r="HV38" s="102"/>
      <c r="HW38" s="102"/>
      <c r="HX38" s="102"/>
      <c r="HY38" s="102"/>
      <c r="HZ38" s="102"/>
      <c r="IA38" s="102"/>
      <c r="IB38" s="102"/>
      <c r="IC38" s="102"/>
      <c r="ID38" s="102"/>
      <c r="IE38" s="102"/>
      <c r="IF38" s="102"/>
      <c r="IG38" s="102"/>
      <c r="IH38" s="102"/>
      <c r="II38" s="102"/>
      <c r="IJ38" s="102"/>
      <c r="IT38" s="233"/>
    </row>
    <row r="39" spans="1:254" ht="36" customHeight="1" thickBot="1">
      <c r="A39" s="274" t="s">
        <v>289</v>
      </c>
      <c r="B39" s="487" t="s">
        <v>35</v>
      </c>
      <c r="C39" s="487" t="s">
        <v>36</v>
      </c>
      <c r="D39" s="487" t="s">
        <v>37</v>
      </c>
      <c r="E39" s="487" t="s">
        <v>91</v>
      </c>
      <c r="F39" s="487" t="s">
        <v>18</v>
      </c>
      <c r="G39" s="479" t="s">
        <v>99</v>
      </c>
      <c r="H39" s="481"/>
      <c r="I39" s="481"/>
      <c r="J39" s="481"/>
      <c r="K39" s="481"/>
      <c r="L39" s="481"/>
      <c r="M39" s="481"/>
      <c r="N39" s="482"/>
      <c r="O39" s="229"/>
      <c r="P39" s="229"/>
      <c r="Q39" s="229"/>
      <c r="R39" s="230"/>
    </row>
    <row r="40" spans="1:254" ht="15.75" customHeight="1" thickBot="1">
      <c r="A40" s="274" t="s">
        <v>289</v>
      </c>
      <c r="B40" s="488"/>
      <c r="C40" s="488"/>
      <c r="D40" s="488"/>
      <c r="E40" s="488"/>
      <c r="F40" s="488"/>
      <c r="G40" s="479" t="s">
        <v>260</v>
      </c>
      <c r="H40" s="480"/>
      <c r="I40" s="479" t="s">
        <v>303</v>
      </c>
      <c r="J40" s="480"/>
      <c r="K40" s="479" t="s">
        <v>340</v>
      </c>
      <c r="L40" s="480"/>
      <c r="M40" s="479" t="s">
        <v>259</v>
      </c>
      <c r="N40" s="480"/>
      <c r="R40" s="232"/>
    </row>
    <row r="41" spans="1:254" ht="16.5" thickBot="1">
      <c r="A41" s="274" t="s">
        <v>289</v>
      </c>
      <c r="B41" s="489"/>
      <c r="C41" s="489"/>
      <c r="D41" s="489"/>
      <c r="E41" s="489"/>
      <c r="F41" s="489"/>
      <c r="G41" s="162" t="s">
        <v>187</v>
      </c>
      <c r="H41" s="147" t="s">
        <v>38</v>
      </c>
      <c r="I41" s="162" t="s">
        <v>187</v>
      </c>
      <c r="J41" s="147" t="s">
        <v>38</v>
      </c>
      <c r="K41" s="162" t="s">
        <v>187</v>
      </c>
      <c r="L41" s="147" t="s">
        <v>38</v>
      </c>
      <c r="M41" s="162" t="s">
        <v>187</v>
      </c>
      <c r="N41" s="147" t="s">
        <v>38</v>
      </c>
      <c r="R41" s="232"/>
    </row>
    <row r="42" spans="1:254">
      <c r="A42" s="274" t="s">
        <v>289</v>
      </c>
      <c r="B42" s="163" t="s">
        <v>114</v>
      </c>
      <c r="C42" s="117" t="s">
        <v>115</v>
      </c>
      <c r="D42" s="117" t="s">
        <v>116</v>
      </c>
      <c r="E42" s="117" t="s">
        <v>117</v>
      </c>
      <c r="F42" s="116" t="s">
        <v>118</v>
      </c>
      <c r="G42" s="163" t="s">
        <v>119</v>
      </c>
      <c r="H42" s="113" t="s">
        <v>120</v>
      </c>
      <c r="I42" s="114">
        <v>8</v>
      </c>
      <c r="J42" s="115">
        <v>9</v>
      </c>
      <c r="K42" s="106">
        <v>10</v>
      </c>
      <c r="L42" s="115">
        <v>11</v>
      </c>
      <c r="M42" s="106">
        <v>12</v>
      </c>
      <c r="N42" s="115">
        <v>13</v>
      </c>
      <c r="O42" s="102"/>
      <c r="P42" s="102"/>
      <c r="Q42" s="102"/>
      <c r="R42" s="148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2"/>
      <c r="FN42" s="102"/>
      <c r="FO42" s="102"/>
      <c r="FP42" s="102"/>
      <c r="FQ42" s="102"/>
      <c r="FR42" s="102"/>
      <c r="FS42" s="102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102"/>
      <c r="GG42" s="102"/>
      <c r="GH42" s="102"/>
      <c r="GI42" s="102"/>
      <c r="GJ42" s="102"/>
      <c r="GK42" s="102"/>
      <c r="GL42" s="102"/>
      <c r="GM42" s="102"/>
      <c r="GN42" s="102"/>
      <c r="GO42" s="102"/>
      <c r="GP42" s="102"/>
      <c r="GQ42" s="102"/>
      <c r="GR42" s="102"/>
      <c r="GS42" s="102"/>
      <c r="GT42" s="102"/>
      <c r="GU42" s="102"/>
      <c r="GV42" s="102"/>
      <c r="GW42" s="102"/>
      <c r="GX42" s="102"/>
      <c r="GY42" s="102"/>
      <c r="GZ42" s="102"/>
      <c r="HA42" s="102"/>
      <c r="HB42" s="102"/>
      <c r="HC42" s="102"/>
      <c r="HD42" s="102"/>
      <c r="HE42" s="102"/>
      <c r="HF42" s="102"/>
      <c r="HG42" s="102"/>
      <c r="HH42" s="102"/>
      <c r="HI42" s="102"/>
      <c r="HJ42" s="102"/>
      <c r="HK42" s="102"/>
      <c r="HL42" s="102"/>
      <c r="HM42" s="102"/>
      <c r="HN42" s="102"/>
      <c r="HO42" s="102"/>
      <c r="HP42" s="102"/>
      <c r="HQ42" s="102"/>
      <c r="HR42" s="102"/>
      <c r="HS42" s="102"/>
      <c r="HT42" s="102"/>
      <c r="HU42" s="102"/>
      <c r="HV42" s="102"/>
      <c r="HW42" s="102"/>
      <c r="HX42" s="102"/>
      <c r="HY42" s="102"/>
      <c r="HZ42" s="102"/>
      <c r="IA42" s="102"/>
      <c r="IB42" s="102"/>
      <c r="IC42" s="102"/>
      <c r="ID42" s="102"/>
      <c r="IE42" s="102"/>
      <c r="IF42" s="102"/>
      <c r="IG42" s="102"/>
      <c r="IH42" s="102"/>
      <c r="II42" s="102"/>
      <c r="IJ42" s="102"/>
    </row>
    <row r="43" spans="1:254" ht="31.5">
      <c r="A43" s="150"/>
      <c r="B43" s="129" t="s">
        <v>145</v>
      </c>
      <c r="C43" s="138" t="s">
        <v>146</v>
      </c>
      <c r="D43" s="139" t="s">
        <v>147</v>
      </c>
      <c r="E43" s="429" t="s">
        <v>171</v>
      </c>
      <c r="F43" s="127"/>
      <c r="G43" s="191" t="s">
        <v>188</v>
      </c>
      <c r="H43" s="429" t="s">
        <v>171</v>
      </c>
      <c r="I43" s="191" t="s">
        <v>188</v>
      </c>
      <c r="J43" s="429" t="s">
        <v>171</v>
      </c>
      <c r="K43" s="191" t="s">
        <v>188</v>
      </c>
      <c r="L43" s="429" t="s">
        <v>171</v>
      </c>
      <c r="M43" s="191"/>
      <c r="N43" s="429"/>
      <c r="O43" s="102"/>
      <c r="P43" s="102"/>
      <c r="Q43" s="102"/>
      <c r="R43" s="148"/>
      <c r="S43" s="153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2"/>
      <c r="FO43" s="102"/>
      <c r="FP43" s="102"/>
      <c r="FQ43" s="102"/>
      <c r="FR43" s="102"/>
      <c r="FS43" s="102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102"/>
      <c r="GG43" s="102"/>
      <c r="GH43" s="102"/>
      <c r="GI43" s="102"/>
      <c r="GJ43" s="102"/>
      <c r="GK43" s="102"/>
      <c r="GL43" s="102"/>
      <c r="GM43" s="102"/>
      <c r="GN43" s="102"/>
      <c r="GO43" s="102"/>
      <c r="GP43" s="102"/>
      <c r="GQ43" s="102"/>
      <c r="GR43" s="102"/>
      <c r="GS43" s="102"/>
      <c r="GT43" s="102"/>
      <c r="GU43" s="102"/>
      <c r="GV43" s="102"/>
      <c r="GW43" s="102"/>
      <c r="GX43" s="102"/>
      <c r="GY43" s="102"/>
      <c r="GZ43" s="102"/>
      <c r="HA43" s="102"/>
      <c r="HB43" s="102"/>
      <c r="HC43" s="102"/>
      <c r="HD43" s="102"/>
      <c r="HE43" s="102"/>
      <c r="HF43" s="102"/>
      <c r="HG43" s="102"/>
      <c r="HH43" s="102"/>
      <c r="HI43" s="102"/>
      <c r="HJ43" s="102"/>
      <c r="HK43" s="102"/>
      <c r="HL43" s="102"/>
      <c r="HM43" s="102"/>
      <c r="HN43" s="102"/>
      <c r="HO43" s="102"/>
      <c r="HP43" s="102"/>
      <c r="HQ43" s="102"/>
      <c r="HR43" s="102"/>
      <c r="HS43" s="102"/>
      <c r="HT43" s="102"/>
      <c r="HU43" s="102"/>
      <c r="HV43" s="102"/>
      <c r="HW43" s="102"/>
      <c r="HX43" s="102"/>
      <c r="HY43" s="102"/>
      <c r="HZ43" s="102"/>
      <c r="IA43" s="102"/>
      <c r="IB43" s="102"/>
      <c r="IC43" s="102"/>
      <c r="ID43" s="102"/>
      <c r="IE43" s="102"/>
      <c r="IF43" s="102"/>
      <c r="IG43" s="102"/>
      <c r="IH43" s="102"/>
      <c r="II43" s="102"/>
      <c r="IJ43" s="102"/>
    </row>
    <row r="44" spans="1:254" ht="16.5" thickBot="1">
      <c r="A44" s="150"/>
      <c r="B44" s="135"/>
      <c r="C44" s="136" t="s">
        <v>148</v>
      </c>
      <c r="D44" s="137"/>
      <c r="E44" s="137"/>
      <c r="F44" s="135"/>
      <c r="G44" s="135"/>
      <c r="H44" s="137"/>
      <c r="I44" s="135"/>
      <c r="J44" s="137"/>
      <c r="K44" s="135"/>
      <c r="L44" s="137"/>
      <c r="M44" s="135"/>
      <c r="N44" s="137"/>
      <c r="O44" s="102"/>
      <c r="P44" s="102"/>
      <c r="Q44" s="102"/>
      <c r="R44" s="148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2"/>
      <c r="FN44" s="102"/>
      <c r="FO44" s="102"/>
      <c r="FP44" s="102"/>
      <c r="FQ44" s="102"/>
      <c r="FR44" s="102"/>
      <c r="FS44" s="102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102"/>
      <c r="GG44" s="102"/>
      <c r="GH44" s="102"/>
      <c r="GI44" s="102"/>
      <c r="GJ44" s="102"/>
      <c r="GK44" s="102"/>
      <c r="GL44" s="102"/>
      <c r="GM44" s="102"/>
      <c r="GN44" s="102"/>
      <c r="GO44" s="102"/>
      <c r="GP44" s="102"/>
      <c r="GQ44" s="102"/>
      <c r="GR44" s="102"/>
      <c r="GS44" s="102"/>
      <c r="GT44" s="102"/>
      <c r="GU44" s="102"/>
      <c r="GV44" s="102"/>
      <c r="GW44" s="102"/>
      <c r="GX44" s="102"/>
      <c r="GY44" s="102"/>
      <c r="GZ44" s="102"/>
      <c r="HA44" s="102"/>
      <c r="HB44" s="102"/>
      <c r="HC44" s="102"/>
      <c r="HD44" s="102"/>
      <c r="HE44" s="102"/>
      <c r="HF44" s="102"/>
      <c r="HG44" s="102"/>
      <c r="HH44" s="102"/>
      <c r="HI44" s="102"/>
      <c r="HJ44" s="102"/>
      <c r="HK44" s="102"/>
      <c r="HL44" s="102"/>
      <c r="HM44" s="102"/>
      <c r="HN44" s="102"/>
      <c r="HO44" s="102"/>
      <c r="HP44" s="102"/>
      <c r="HQ44" s="102"/>
      <c r="HR44" s="102"/>
      <c r="HS44" s="102"/>
      <c r="HT44" s="102"/>
      <c r="HU44" s="102"/>
      <c r="HV44" s="102"/>
      <c r="HW44" s="102"/>
      <c r="HX44" s="102"/>
      <c r="HY44" s="102"/>
      <c r="HZ44" s="102"/>
      <c r="IA44" s="102"/>
      <c r="IB44" s="102"/>
      <c r="IC44" s="102"/>
      <c r="ID44" s="102"/>
      <c r="IE44" s="102"/>
      <c r="IF44" s="102"/>
      <c r="IG44" s="102"/>
      <c r="IH44" s="102"/>
      <c r="II44" s="102"/>
      <c r="IJ44" s="102"/>
    </row>
    <row r="45" spans="1:254" ht="47.25">
      <c r="A45" s="150"/>
      <c r="B45" s="129" t="s">
        <v>149</v>
      </c>
      <c r="C45" s="138" t="s">
        <v>184</v>
      </c>
      <c r="D45" s="139" t="s">
        <v>144</v>
      </c>
      <c r="E45" s="140">
        <v>1286.98</v>
      </c>
      <c r="F45" s="141"/>
      <c r="G45" s="189" t="s">
        <v>188</v>
      </c>
      <c r="H45" s="140">
        <v>1286.98</v>
      </c>
      <c r="I45" s="189" t="s">
        <v>188</v>
      </c>
      <c r="J45" s="140">
        <v>1286.98</v>
      </c>
      <c r="K45" s="189" t="s">
        <v>188</v>
      </c>
      <c r="L45" s="140">
        <v>1286.98</v>
      </c>
      <c r="M45" s="202"/>
      <c r="N45" s="203"/>
      <c r="O45" s="102">
        <f>1*9.31*55+0.82*9.31*4+1*0.6*36+1*0.8*12+1*1.3*48+1*6.7*3+1*7.3*1+1*6.2*8+1*3*4+0.72*9.46*8+1*9.83*8+1*10.2*8+1*10.57*8+1*10.94*8+1*11.31*8+1*8.2*1+1*11.5*3+1*6.1*11+0.32*6.1*1+1*2*24</f>
        <v>1362.2284</v>
      </c>
      <c r="P45" s="102">
        <f>55*1*9.23+2*0.82*9.31+33*1*0.6+12*1*0.8+48*1*1.3+2*1*6.7+2*0.48*9.23+11*1*6.2+4*1*3+8*0.7*9.53+8*1*9.895+8*1*10.26+8*1*10.99+8*1*11.35+3*1*11.53+1*1*8.265+11*1*6.1+0.32*6.1*1+21*1*2+1*1*3.615+1*1*4.6+2*0.3*9.23+2*1*6.1</f>
        <v>1290.3671999999999</v>
      </c>
      <c r="Q45" s="102">
        <f>P45-O45</f>
        <v>-71.861200000000053</v>
      </c>
      <c r="R45" s="204">
        <f>1*9.23*56+2*0.82*9.33+1*0.6*36+1*1.1*38+1*1.23*48+1*6.63*2+0.48*9.23*2+1*3*4+0.7*9.53*8+1*9.895*8+1*10.26*7+1*10.62*8+1*10.99*7+1*11.32*7+1*11.53*4+1*10.26*1+1*6.1*9+0.32*6.1*1+1*6.27*1+1*0.585*2+1*4.6*2+0.3*9.23*2+1*5.355*2+1*6.64*1</f>
        <v>1286.9800000000002</v>
      </c>
      <c r="S45" s="205">
        <f>R45-L45</f>
        <v>0</v>
      </c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2"/>
      <c r="FO45" s="102"/>
      <c r="FP45" s="102"/>
      <c r="FQ45" s="102"/>
      <c r="FR45" s="102"/>
      <c r="FS45" s="102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102"/>
      <c r="GG45" s="102"/>
      <c r="GH45" s="102"/>
      <c r="GI45" s="102"/>
      <c r="GJ45" s="102"/>
      <c r="GK45" s="102"/>
      <c r="GL45" s="102"/>
      <c r="GM45" s="102"/>
      <c r="GN45" s="102"/>
      <c r="GO45" s="102"/>
      <c r="GP45" s="102"/>
      <c r="GQ45" s="102"/>
      <c r="GR45" s="102"/>
      <c r="GS45" s="102"/>
      <c r="GT45" s="102"/>
      <c r="GU45" s="102"/>
      <c r="GV45" s="102"/>
      <c r="GW45" s="102"/>
      <c r="GX45" s="102"/>
      <c r="GY45" s="102"/>
      <c r="GZ45" s="102"/>
      <c r="HA45" s="102"/>
      <c r="HB45" s="102"/>
      <c r="HC45" s="102"/>
      <c r="HD45" s="102"/>
      <c r="HE45" s="102"/>
      <c r="HF45" s="102"/>
      <c r="HG45" s="102"/>
      <c r="HH45" s="102"/>
      <c r="HI45" s="102"/>
      <c r="HJ45" s="102"/>
      <c r="HK45" s="102"/>
      <c r="HL45" s="102"/>
      <c r="HM45" s="102"/>
      <c r="HN45" s="102"/>
      <c r="HO45" s="102"/>
      <c r="HP45" s="102"/>
      <c r="HQ45" s="102"/>
      <c r="HR45" s="102"/>
      <c r="HS45" s="102"/>
      <c r="HT45" s="102"/>
      <c r="HU45" s="102"/>
      <c r="HV45" s="102"/>
      <c r="HW45" s="102"/>
      <c r="HX45" s="102"/>
      <c r="HY45" s="102"/>
      <c r="HZ45" s="102"/>
      <c r="IA45" s="102"/>
      <c r="IB45" s="102"/>
      <c r="IC45" s="102"/>
      <c r="ID45" s="102"/>
      <c r="IE45" s="102"/>
      <c r="IF45" s="102"/>
      <c r="IG45" s="102"/>
      <c r="IH45" s="102"/>
      <c r="II45" s="102"/>
      <c r="IJ45" s="102"/>
    </row>
    <row r="46" spans="1:254">
      <c r="A46" s="150"/>
      <c r="B46" s="129" t="s">
        <v>150</v>
      </c>
      <c r="C46" s="138" t="s">
        <v>152</v>
      </c>
      <c r="D46" s="139" t="s">
        <v>153</v>
      </c>
      <c r="E46" s="140">
        <v>201</v>
      </c>
      <c r="F46" s="141"/>
      <c r="G46" s="189" t="s">
        <v>188</v>
      </c>
      <c r="H46" s="140">
        <v>201</v>
      </c>
      <c r="I46" s="189" t="s">
        <v>188</v>
      </c>
      <c r="J46" s="140">
        <v>201</v>
      </c>
      <c r="K46" s="189" t="s">
        <v>188</v>
      </c>
      <c r="L46" s="140">
        <v>201</v>
      </c>
      <c r="M46" s="202"/>
      <c r="N46" s="203"/>
      <c r="O46" s="102">
        <v>329.7</v>
      </c>
      <c r="P46" s="102">
        <v>187</v>
      </c>
      <c r="Q46" s="102">
        <f>P46-O46</f>
        <v>-142.69999999999999</v>
      </c>
      <c r="R46" s="204">
        <v>201</v>
      </c>
      <c r="S46" s="205">
        <f>R46-L46</f>
        <v>0</v>
      </c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02"/>
      <c r="GG46" s="102"/>
      <c r="GH46" s="102"/>
      <c r="GI46" s="102"/>
      <c r="GJ46" s="102"/>
      <c r="GK46" s="102"/>
      <c r="GL46" s="102"/>
      <c r="GM46" s="102"/>
      <c r="GN46" s="102"/>
      <c r="GO46" s="102"/>
      <c r="GP46" s="102"/>
      <c r="GQ46" s="102"/>
      <c r="GR46" s="102"/>
      <c r="GS46" s="102"/>
      <c r="GT46" s="102"/>
      <c r="GU46" s="102"/>
      <c r="GV46" s="102"/>
      <c r="GW46" s="102"/>
      <c r="GX46" s="102"/>
      <c r="GY46" s="102"/>
      <c r="GZ46" s="102"/>
      <c r="HA46" s="102"/>
      <c r="HB46" s="102"/>
      <c r="HC46" s="102"/>
      <c r="HD46" s="102"/>
      <c r="HE46" s="102"/>
      <c r="HF46" s="102"/>
      <c r="HG46" s="102"/>
      <c r="HH46" s="102"/>
      <c r="HI46" s="102"/>
      <c r="HJ46" s="102"/>
      <c r="HK46" s="102"/>
      <c r="HL46" s="102"/>
      <c r="HM46" s="102"/>
      <c r="HN46" s="102"/>
      <c r="HO46" s="102"/>
      <c r="HP46" s="102"/>
      <c r="HQ46" s="102"/>
      <c r="HR46" s="102"/>
      <c r="HS46" s="102"/>
      <c r="HT46" s="102"/>
      <c r="HU46" s="102"/>
      <c r="HV46" s="102"/>
      <c r="HW46" s="102"/>
      <c r="HX46" s="102"/>
      <c r="HY46" s="102"/>
      <c r="HZ46" s="102"/>
      <c r="IA46" s="102"/>
      <c r="IB46" s="102"/>
      <c r="IC46" s="102"/>
      <c r="ID46" s="102"/>
      <c r="IE46" s="102"/>
      <c r="IF46" s="102"/>
      <c r="IG46" s="102"/>
      <c r="IH46" s="102"/>
      <c r="II46" s="102"/>
      <c r="IJ46" s="102"/>
    </row>
    <row r="47" spans="1:254" ht="36" customHeight="1" thickBot="1">
      <c r="A47" s="150"/>
      <c r="B47" s="154" t="s">
        <v>151</v>
      </c>
      <c r="C47" s="157" t="s">
        <v>301</v>
      </c>
      <c r="D47" s="131" t="s">
        <v>147</v>
      </c>
      <c r="E47" s="177" t="s">
        <v>206</v>
      </c>
      <c r="F47" s="178"/>
      <c r="G47" s="192" t="s">
        <v>207</v>
      </c>
      <c r="H47" s="177" t="s">
        <v>206</v>
      </c>
      <c r="I47" s="192" t="s">
        <v>207</v>
      </c>
      <c r="J47" s="177" t="s">
        <v>206</v>
      </c>
      <c r="K47" s="192" t="s">
        <v>207</v>
      </c>
      <c r="L47" s="177" t="s">
        <v>206</v>
      </c>
      <c r="M47" s="192"/>
      <c r="N47" s="177"/>
      <c r="O47" s="102">
        <v>184.1</v>
      </c>
      <c r="P47" s="102">
        <v>52</v>
      </c>
      <c r="Q47" s="231">
        <v>66.87</v>
      </c>
      <c r="R47" s="148">
        <f>52-127</f>
        <v>-75</v>
      </c>
      <c r="S47" s="149">
        <f>Q47-O47</f>
        <v>-117.22999999999999</v>
      </c>
      <c r="T47" s="206">
        <v>43</v>
      </c>
      <c r="U47" s="206">
        <v>66.2</v>
      </c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2"/>
      <c r="FO47" s="102"/>
      <c r="FP47" s="102"/>
      <c r="FQ47" s="102"/>
      <c r="FR47" s="102"/>
      <c r="FS47" s="102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102"/>
      <c r="GG47" s="102"/>
      <c r="GH47" s="102"/>
      <c r="GI47" s="102"/>
      <c r="GJ47" s="102"/>
      <c r="GK47" s="102"/>
      <c r="GL47" s="102"/>
      <c r="GM47" s="102"/>
      <c r="GN47" s="102"/>
      <c r="GO47" s="102"/>
      <c r="GP47" s="102"/>
      <c r="GQ47" s="102"/>
      <c r="GR47" s="102"/>
      <c r="GS47" s="102"/>
      <c r="GT47" s="102"/>
      <c r="GU47" s="102"/>
      <c r="GV47" s="102"/>
      <c r="GW47" s="102"/>
      <c r="GX47" s="102"/>
      <c r="GY47" s="102"/>
      <c r="GZ47" s="102"/>
      <c r="HA47" s="102"/>
      <c r="HB47" s="102"/>
      <c r="HC47" s="102"/>
      <c r="HD47" s="102"/>
      <c r="HE47" s="102"/>
      <c r="HF47" s="102"/>
      <c r="HG47" s="102"/>
      <c r="HH47" s="102"/>
      <c r="HI47" s="102"/>
      <c r="HJ47" s="102"/>
      <c r="HK47" s="102"/>
      <c r="HL47" s="102"/>
      <c r="HM47" s="102"/>
      <c r="HN47" s="102"/>
      <c r="HO47" s="102"/>
      <c r="HP47" s="102"/>
      <c r="HQ47" s="102"/>
      <c r="HR47" s="102"/>
      <c r="HS47" s="102"/>
      <c r="HT47" s="102"/>
      <c r="HU47" s="102"/>
      <c r="HV47" s="102"/>
      <c r="HW47" s="102"/>
      <c r="HX47" s="102"/>
      <c r="HY47" s="102"/>
      <c r="HZ47" s="102"/>
      <c r="IA47" s="102"/>
      <c r="IB47" s="102"/>
      <c r="IC47" s="102"/>
      <c r="ID47" s="102"/>
      <c r="IE47" s="102"/>
      <c r="IF47" s="102"/>
      <c r="IG47" s="102"/>
      <c r="IH47" s="102"/>
      <c r="II47" s="102"/>
      <c r="IJ47" s="102"/>
    </row>
    <row r="48" spans="1:254">
      <c r="A48" s="150"/>
      <c r="B48" s="125" t="s">
        <v>4</v>
      </c>
      <c r="C48" s="159" t="s">
        <v>154</v>
      </c>
      <c r="D48" s="160"/>
      <c r="E48" s="160"/>
      <c r="F48" s="142"/>
      <c r="G48" s="125"/>
      <c r="H48" s="160"/>
      <c r="I48" s="125"/>
      <c r="J48" s="160"/>
      <c r="K48" s="125"/>
      <c r="L48" s="160"/>
      <c r="M48" s="125"/>
      <c r="N48" s="160"/>
      <c r="O48" s="102"/>
      <c r="P48" s="102"/>
      <c r="Q48" s="102"/>
      <c r="R48" s="148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2"/>
      <c r="FN48" s="102"/>
      <c r="FO48" s="102"/>
      <c r="FP48" s="102"/>
      <c r="FQ48" s="102"/>
      <c r="FR48" s="102"/>
      <c r="FS48" s="102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102"/>
      <c r="GG48" s="102"/>
      <c r="GH48" s="102"/>
      <c r="GI48" s="102"/>
      <c r="GJ48" s="102"/>
      <c r="GK48" s="102"/>
      <c r="GL48" s="102"/>
      <c r="GM48" s="102"/>
      <c r="GN48" s="102"/>
      <c r="GO48" s="102"/>
      <c r="GP48" s="102"/>
      <c r="GQ48" s="102"/>
      <c r="GR48" s="102"/>
      <c r="GS48" s="102"/>
      <c r="GT48" s="102"/>
      <c r="GU48" s="102"/>
      <c r="GV48" s="102"/>
      <c r="GW48" s="102"/>
      <c r="GX48" s="102"/>
      <c r="GY48" s="102"/>
      <c r="GZ48" s="102"/>
      <c r="HA48" s="102"/>
      <c r="HB48" s="102"/>
      <c r="HC48" s="102"/>
      <c r="HD48" s="102"/>
      <c r="HE48" s="102"/>
      <c r="HF48" s="102"/>
      <c r="HG48" s="102"/>
      <c r="HH48" s="102"/>
      <c r="HI48" s="102"/>
      <c r="HJ48" s="102"/>
      <c r="HK48" s="102"/>
      <c r="HL48" s="102"/>
      <c r="HM48" s="102"/>
      <c r="HN48" s="102"/>
      <c r="HO48" s="102"/>
      <c r="HP48" s="102"/>
      <c r="HQ48" s="102"/>
      <c r="HR48" s="102"/>
      <c r="HS48" s="102"/>
      <c r="HT48" s="102"/>
      <c r="HU48" s="102"/>
      <c r="HV48" s="102"/>
      <c r="HW48" s="102"/>
      <c r="HX48" s="102"/>
      <c r="HY48" s="102"/>
      <c r="HZ48" s="102"/>
      <c r="IA48" s="102"/>
      <c r="IB48" s="102"/>
      <c r="IC48" s="102"/>
      <c r="ID48" s="102"/>
      <c r="IE48" s="102"/>
      <c r="IF48" s="102"/>
      <c r="IG48" s="102"/>
      <c r="IH48" s="102"/>
      <c r="II48" s="102"/>
      <c r="IJ48" s="102"/>
      <c r="IT48" s="233"/>
    </row>
    <row r="49" spans="1:254" ht="31.5">
      <c r="A49" s="150"/>
      <c r="B49" s="129" t="s">
        <v>155</v>
      </c>
      <c r="C49" s="138" t="s">
        <v>156</v>
      </c>
      <c r="D49" s="139" t="s">
        <v>153</v>
      </c>
      <c r="E49" s="140">
        <v>1021.56</v>
      </c>
      <c r="F49" s="141"/>
      <c r="G49" s="191" t="s">
        <v>188</v>
      </c>
      <c r="H49" s="140">
        <v>1021.56</v>
      </c>
      <c r="I49" s="191" t="s">
        <v>188</v>
      </c>
      <c r="J49" s="140">
        <v>1021.56</v>
      </c>
      <c r="K49" s="191" t="s">
        <v>188</v>
      </c>
      <c r="L49" s="140">
        <v>1021.56</v>
      </c>
      <c r="M49" s="191"/>
      <c r="N49" s="140"/>
      <c r="O49" s="102">
        <v>1496.87</v>
      </c>
      <c r="P49" s="102">
        <f>404.5+9.6*28+9.6*19+3*3+6.63*2+1.2*48+0.6*40+0.8*15+2*25</f>
        <v>1021.56</v>
      </c>
      <c r="Q49" s="153">
        <f>P49-H49</f>
        <v>0</v>
      </c>
      <c r="R49" s="148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2"/>
      <c r="FN49" s="102"/>
      <c r="FO49" s="102"/>
      <c r="FP49" s="102"/>
      <c r="FQ49" s="102"/>
      <c r="FR49" s="102"/>
      <c r="FS49" s="102"/>
      <c r="FT49" s="102"/>
      <c r="FU49" s="102"/>
      <c r="FV49" s="102"/>
      <c r="FW49" s="102"/>
      <c r="FX49" s="102"/>
      <c r="FY49" s="102"/>
      <c r="FZ49" s="102"/>
      <c r="GA49" s="102"/>
      <c r="GB49" s="102"/>
      <c r="GC49" s="102"/>
      <c r="GD49" s="102"/>
      <c r="GE49" s="102"/>
      <c r="GF49" s="102"/>
      <c r="GG49" s="102"/>
      <c r="GH49" s="102"/>
      <c r="GI49" s="102"/>
      <c r="GJ49" s="102"/>
      <c r="GK49" s="102"/>
      <c r="GL49" s="102"/>
      <c r="GM49" s="102"/>
      <c r="GN49" s="102"/>
      <c r="GO49" s="102"/>
      <c r="GP49" s="102"/>
      <c r="GQ49" s="102"/>
      <c r="GR49" s="102"/>
      <c r="GS49" s="102"/>
      <c r="GT49" s="102"/>
      <c r="GU49" s="102"/>
      <c r="GV49" s="102"/>
      <c r="GW49" s="102"/>
      <c r="GX49" s="102"/>
      <c r="GY49" s="102"/>
      <c r="GZ49" s="102"/>
      <c r="HA49" s="102"/>
      <c r="HB49" s="102"/>
      <c r="HC49" s="102"/>
      <c r="HD49" s="102"/>
      <c r="HE49" s="102"/>
      <c r="HF49" s="102"/>
      <c r="HG49" s="102"/>
      <c r="HH49" s="102"/>
      <c r="HI49" s="102"/>
      <c r="HJ49" s="102"/>
      <c r="HK49" s="102"/>
      <c r="HL49" s="102"/>
      <c r="HM49" s="102"/>
      <c r="HN49" s="102"/>
      <c r="HO49" s="102"/>
      <c r="HP49" s="102"/>
      <c r="HQ49" s="102"/>
      <c r="HR49" s="102"/>
      <c r="HS49" s="102"/>
      <c r="HT49" s="102"/>
      <c r="HU49" s="102"/>
      <c r="HV49" s="102"/>
      <c r="HW49" s="102"/>
      <c r="HX49" s="102"/>
      <c r="HY49" s="102"/>
      <c r="HZ49" s="102"/>
      <c r="IA49" s="102"/>
      <c r="IB49" s="102"/>
      <c r="IC49" s="102"/>
      <c r="ID49" s="102"/>
      <c r="IE49" s="102"/>
      <c r="IF49" s="102"/>
      <c r="IG49" s="102"/>
      <c r="IH49" s="102"/>
      <c r="II49" s="102"/>
      <c r="IJ49" s="102"/>
    </row>
    <row r="50" spans="1:254" ht="31.5">
      <c r="A50" s="150"/>
      <c r="B50" s="129" t="s">
        <v>157</v>
      </c>
      <c r="C50" s="138" t="s">
        <v>158</v>
      </c>
      <c r="D50" s="139" t="s">
        <v>153</v>
      </c>
      <c r="E50" s="140">
        <v>756</v>
      </c>
      <c r="F50" s="141"/>
      <c r="G50" s="189" t="s">
        <v>188</v>
      </c>
      <c r="H50" s="399">
        <v>756</v>
      </c>
      <c r="I50" s="401" t="s">
        <v>188</v>
      </c>
      <c r="J50" s="399">
        <v>756</v>
      </c>
      <c r="K50" s="401" t="s">
        <v>188</v>
      </c>
      <c r="L50" s="399">
        <v>756</v>
      </c>
      <c r="M50" s="189"/>
      <c r="N50" s="140"/>
      <c r="O50" s="102">
        <v>1742.009</v>
      </c>
      <c r="P50" s="102">
        <f>54*7*2</f>
        <v>756</v>
      </c>
      <c r="Q50" s="153">
        <f>P50-H50</f>
        <v>0</v>
      </c>
      <c r="R50" s="148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2"/>
      <c r="FN50" s="102"/>
      <c r="FO50" s="102"/>
      <c r="FP50" s="102"/>
      <c r="FQ50" s="102"/>
      <c r="FR50" s="102"/>
      <c r="FS50" s="102"/>
      <c r="FT50" s="102"/>
      <c r="FU50" s="102"/>
      <c r="FV50" s="102"/>
      <c r="FW50" s="102"/>
      <c r="FX50" s="102"/>
      <c r="FY50" s="102"/>
      <c r="FZ50" s="102"/>
      <c r="GA50" s="102"/>
      <c r="GB50" s="102"/>
      <c r="GC50" s="102"/>
      <c r="GD50" s="102"/>
      <c r="GE50" s="102"/>
      <c r="GF50" s="102"/>
      <c r="GG50" s="102"/>
      <c r="GH50" s="102"/>
      <c r="GI50" s="102"/>
      <c r="GJ50" s="102"/>
      <c r="GK50" s="102"/>
      <c r="GL50" s="102"/>
      <c r="GM50" s="102"/>
      <c r="GN50" s="102"/>
      <c r="GO50" s="102"/>
      <c r="GP50" s="102"/>
      <c r="GQ50" s="102"/>
      <c r="GR50" s="102"/>
      <c r="GS50" s="102"/>
      <c r="GT50" s="102"/>
      <c r="GU50" s="102"/>
      <c r="GV50" s="102"/>
      <c r="GW50" s="102"/>
      <c r="GX50" s="102"/>
      <c r="GY50" s="102"/>
      <c r="GZ50" s="102"/>
      <c r="HA50" s="102"/>
      <c r="HB50" s="102"/>
      <c r="HC50" s="102"/>
      <c r="HD50" s="102"/>
      <c r="HE50" s="102"/>
      <c r="HF50" s="102"/>
      <c r="HG50" s="102"/>
      <c r="HH50" s="102"/>
      <c r="HI50" s="102"/>
      <c r="HJ50" s="102"/>
      <c r="HK50" s="102"/>
      <c r="HL50" s="102"/>
      <c r="HM50" s="102"/>
      <c r="HN50" s="102"/>
      <c r="HO50" s="102"/>
      <c r="HP50" s="102"/>
      <c r="HQ50" s="102"/>
      <c r="HR50" s="102"/>
      <c r="HS50" s="102"/>
      <c r="HT50" s="102"/>
      <c r="HU50" s="102"/>
      <c r="HV50" s="102"/>
      <c r="HW50" s="102"/>
      <c r="HX50" s="102"/>
      <c r="HY50" s="102"/>
      <c r="HZ50" s="102"/>
      <c r="IA50" s="102"/>
      <c r="IB50" s="102"/>
      <c r="IC50" s="102"/>
      <c r="ID50" s="102"/>
      <c r="IE50" s="102"/>
      <c r="IF50" s="102"/>
      <c r="IG50" s="102"/>
      <c r="IH50" s="102"/>
      <c r="II50" s="102"/>
      <c r="IJ50" s="102"/>
    </row>
    <row r="51" spans="1:254" ht="16.5" thickBot="1">
      <c r="A51" s="150"/>
      <c r="B51" s="143" t="s">
        <v>159</v>
      </c>
      <c r="C51" s="144" t="s">
        <v>160</v>
      </c>
      <c r="D51" s="145" t="s">
        <v>153</v>
      </c>
      <c r="E51" s="168" t="s">
        <v>173</v>
      </c>
      <c r="F51" s="146"/>
      <c r="G51" s="189" t="s">
        <v>188</v>
      </c>
      <c r="H51" s="400">
        <v>195</v>
      </c>
      <c r="I51" s="401" t="s">
        <v>188</v>
      </c>
      <c r="J51" s="400">
        <v>195</v>
      </c>
      <c r="K51" s="401" t="s">
        <v>188</v>
      </c>
      <c r="L51" s="400" t="s">
        <v>173</v>
      </c>
      <c r="M51" s="189"/>
      <c r="N51" s="168"/>
      <c r="O51" s="102">
        <v>195</v>
      </c>
      <c r="P51" s="102"/>
      <c r="Q51" s="102"/>
      <c r="R51" s="148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2"/>
      <c r="FN51" s="102"/>
      <c r="FO51" s="102"/>
      <c r="FP51" s="102"/>
      <c r="FQ51" s="102"/>
      <c r="FR51" s="102"/>
      <c r="FS51" s="102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102"/>
      <c r="GG51" s="102"/>
      <c r="GH51" s="102"/>
      <c r="GI51" s="102"/>
      <c r="GJ51" s="102"/>
      <c r="GK51" s="102"/>
      <c r="GL51" s="102"/>
      <c r="GM51" s="102"/>
      <c r="GN51" s="102"/>
      <c r="GO51" s="102"/>
      <c r="GP51" s="102"/>
      <c r="GQ51" s="102"/>
      <c r="GR51" s="102"/>
      <c r="GS51" s="102"/>
      <c r="GT51" s="102"/>
      <c r="GU51" s="102"/>
      <c r="GV51" s="102"/>
      <c r="GW51" s="102"/>
      <c r="GX51" s="102"/>
      <c r="GY51" s="102"/>
      <c r="GZ51" s="102"/>
      <c r="HA51" s="102"/>
      <c r="HB51" s="102"/>
      <c r="HC51" s="102"/>
      <c r="HD51" s="102"/>
      <c r="HE51" s="102"/>
      <c r="HF51" s="102"/>
      <c r="HG51" s="102"/>
      <c r="HH51" s="102"/>
      <c r="HI51" s="102"/>
      <c r="HJ51" s="102"/>
      <c r="HK51" s="102"/>
      <c r="HL51" s="102"/>
      <c r="HM51" s="102"/>
      <c r="HN51" s="102"/>
      <c r="HO51" s="102"/>
      <c r="HP51" s="102"/>
      <c r="HQ51" s="102"/>
      <c r="HR51" s="102"/>
      <c r="HS51" s="102"/>
      <c r="HT51" s="102"/>
      <c r="HU51" s="102"/>
      <c r="HV51" s="102"/>
      <c r="HW51" s="102"/>
      <c r="HX51" s="102"/>
      <c r="HY51" s="102"/>
      <c r="HZ51" s="102"/>
      <c r="IA51" s="102"/>
      <c r="IB51" s="102"/>
      <c r="IC51" s="102"/>
      <c r="ID51" s="102"/>
      <c r="IE51" s="102"/>
      <c r="IF51" s="102"/>
      <c r="IG51" s="102"/>
      <c r="IH51" s="102"/>
      <c r="II51" s="102"/>
      <c r="IJ51" s="102"/>
    </row>
    <row r="52" spans="1:254">
      <c r="A52" s="150"/>
      <c r="B52" s="186" t="s">
        <v>4</v>
      </c>
      <c r="C52" s="190" t="s">
        <v>172</v>
      </c>
      <c r="D52" s="183"/>
      <c r="E52" s="183"/>
      <c r="F52" s="187"/>
      <c r="G52" s="183"/>
      <c r="H52" s="183"/>
      <c r="I52" s="183"/>
      <c r="J52" s="183"/>
      <c r="K52" s="183"/>
      <c r="L52" s="183"/>
      <c r="M52" s="183"/>
      <c r="N52" s="183"/>
      <c r="O52" s="102"/>
      <c r="P52" s="102"/>
      <c r="Q52" s="102"/>
      <c r="R52" s="148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2"/>
      <c r="FN52" s="102"/>
      <c r="FO52" s="102"/>
      <c r="FP52" s="102"/>
      <c r="FQ52" s="102"/>
      <c r="FR52" s="102"/>
      <c r="FS52" s="102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102"/>
      <c r="GG52" s="102"/>
      <c r="GH52" s="102"/>
      <c r="GI52" s="102"/>
      <c r="GJ52" s="102"/>
      <c r="GK52" s="102"/>
      <c r="GL52" s="102"/>
      <c r="GM52" s="102"/>
      <c r="GN52" s="102"/>
      <c r="GO52" s="102"/>
      <c r="GP52" s="102"/>
      <c r="GQ52" s="102"/>
      <c r="GR52" s="102"/>
      <c r="GS52" s="102"/>
      <c r="GT52" s="102"/>
      <c r="GU52" s="102"/>
      <c r="GV52" s="102"/>
      <c r="GW52" s="102"/>
      <c r="GX52" s="102"/>
      <c r="GY52" s="102"/>
      <c r="GZ52" s="102"/>
      <c r="HA52" s="102"/>
      <c r="HB52" s="102"/>
      <c r="HC52" s="102"/>
      <c r="HD52" s="102"/>
      <c r="HE52" s="102"/>
      <c r="HF52" s="102"/>
      <c r="HG52" s="102"/>
      <c r="HH52" s="102"/>
      <c r="HI52" s="102"/>
      <c r="HJ52" s="102"/>
      <c r="HK52" s="102"/>
      <c r="HL52" s="102"/>
      <c r="HM52" s="102"/>
      <c r="HN52" s="102"/>
      <c r="HO52" s="102"/>
      <c r="HP52" s="102"/>
      <c r="HQ52" s="102"/>
      <c r="HR52" s="102"/>
      <c r="HS52" s="102"/>
      <c r="HT52" s="102"/>
      <c r="HU52" s="102"/>
      <c r="HV52" s="102"/>
      <c r="HW52" s="102"/>
      <c r="HX52" s="102"/>
      <c r="HY52" s="102"/>
      <c r="HZ52" s="102"/>
      <c r="IA52" s="102"/>
      <c r="IB52" s="102"/>
      <c r="IC52" s="102"/>
      <c r="ID52" s="102"/>
      <c r="IE52" s="102"/>
      <c r="IF52" s="102"/>
      <c r="IG52" s="102"/>
      <c r="IH52" s="102"/>
      <c r="II52" s="102"/>
      <c r="IJ52" s="102"/>
      <c r="IT52" s="233"/>
    </row>
    <row r="53" spans="1:254" ht="31.5">
      <c r="A53" s="150"/>
      <c r="B53" s="132" t="s">
        <v>161</v>
      </c>
      <c r="C53" s="101" t="s">
        <v>168</v>
      </c>
      <c r="D53" s="133" t="s">
        <v>128</v>
      </c>
      <c r="E53" s="195">
        <v>0</v>
      </c>
      <c r="F53" s="134"/>
      <c r="G53" s="189" t="s">
        <v>188</v>
      </c>
      <c r="H53" s="361">
        <v>0</v>
      </c>
      <c r="I53" s="189" t="s">
        <v>188</v>
      </c>
      <c r="J53" s="361">
        <v>0</v>
      </c>
      <c r="K53" s="189" t="s">
        <v>188</v>
      </c>
      <c r="L53" s="361">
        <v>0</v>
      </c>
      <c r="M53" s="189"/>
      <c r="N53" s="195"/>
      <c r="O53" s="102">
        <v>3014</v>
      </c>
      <c r="P53" s="102"/>
      <c r="Q53" s="102"/>
      <c r="R53" s="148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2"/>
      <c r="FN53" s="102"/>
      <c r="FO53" s="102"/>
      <c r="FP53" s="102"/>
      <c r="FQ53" s="102"/>
      <c r="FR53" s="102"/>
      <c r="FS53" s="102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102"/>
      <c r="GG53" s="102"/>
      <c r="GH53" s="102"/>
      <c r="GI53" s="102"/>
      <c r="GJ53" s="102"/>
      <c r="GK53" s="102"/>
      <c r="GL53" s="102"/>
      <c r="GM53" s="102"/>
      <c r="GN53" s="102"/>
      <c r="GO53" s="102"/>
      <c r="GP53" s="102"/>
      <c r="GQ53" s="102"/>
      <c r="GR53" s="102"/>
      <c r="GS53" s="102"/>
      <c r="GT53" s="102"/>
      <c r="GU53" s="102"/>
      <c r="GV53" s="102"/>
      <c r="GW53" s="102"/>
      <c r="GX53" s="102"/>
      <c r="GY53" s="102"/>
      <c r="GZ53" s="102"/>
      <c r="HA53" s="102"/>
      <c r="HB53" s="102"/>
      <c r="HC53" s="102"/>
      <c r="HD53" s="102"/>
      <c r="HE53" s="102"/>
      <c r="HF53" s="102"/>
      <c r="HG53" s="102"/>
      <c r="HH53" s="102"/>
      <c r="HI53" s="102"/>
      <c r="HJ53" s="102"/>
      <c r="HK53" s="102"/>
      <c r="HL53" s="102"/>
      <c r="HM53" s="102"/>
      <c r="HN53" s="102"/>
      <c r="HO53" s="102"/>
      <c r="HP53" s="102"/>
      <c r="HQ53" s="102"/>
      <c r="HR53" s="102"/>
      <c r="HS53" s="102"/>
      <c r="HT53" s="102"/>
      <c r="HU53" s="102"/>
      <c r="HV53" s="102"/>
      <c r="HW53" s="102"/>
      <c r="HX53" s="102"/>
      <c r="HY53" s="102"/>
      <c r="HZ53" s="102"/>
      <c r="IA53" s="102"/>
      <c r="IB53" s="102"/>
      <c r="IC53" s="102"/>
      <c r="ID53" s="102"/>
      <c r="IE53" s="102"/>
      <c r="IF53" s="102"/>
      <c r="IG53" s="102"/>
      <c r="IH53" s="102"/>
      <c r="II53" s="102"/>
      <c r="IJ53" s="102"/>
      <c r="IT53" s="233"/>
    </row>
    <row r="54" spans="1:254" ht="97.5" customHeight="1">
      <c r="A54" s="150"/>
      <c r="B54" s="382" t="s">
        <v>162</v>
      </c>
      <c r="C54" s="138" t="s">
        <v>269</v>
      </c>
      <c r="D54" s="139" t="s">
        <v>128</v>
      </c>
      <c r="E54" s="181">
        <v>1.7090000000000001</v>
      </c>
      <c r="F54" s="127"/>
      <c r="G54" s="191" t="s">
        <v>188</v>
      </c>
      <c r="H54" s="181">
        <v>1.7090000000000001</v>
      </c>
      <c r="I54" s="191" t="s">
        <v>188</v>
      </c>
      <c r="J54" s="181">
        <v>1.7090000000000001</v>
      </c>
      <c r="K54" s="350">
        <v>-1.7090000000000001</v>
      </c>
      <c r="L54" s="357">
        <v>0</v>
      </c>
      <c r="M54" s="176"/>
      <c r="N54" s="182"/>
      <c r="O54" s="102">
        <f>0.66392+0.81328+0.149351</f>
        <v>1.6265509999999999</v>
      </c>
      <c r="P54" s="153">
        <f>O54-E54</f>
        <v>-8.2449000000000217E-2</v>
      </c>
      <c r="Q54" s="153">
        <f>(1033.5+515.2+160.2)/1000</f>
        <v>1.7089000000000001</v>
      </c>
      <c r="R54" s="185">
        <f>Q54-L54</f>
        <v>1.7089000000000001</v>
      </c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2"/>
      <c r="FN54" s="102"/>
      <c r="FO54" s="102"/>
      <c r="FP54" s="102"/>
      <c r="FQ54" s="102"/>
      <c r="FR54" s="102"/>
      <c r="FS54" s="102"/>
      <c r="FT54" s="102"/>
      <c r="FU54" s="102"/>
      <c r="FV54" s="102"/>
      <c r="FW54" s="102"/>
      <c r="FX54" s="102"/>
      <c r="FY54" s="102"/>
      <c r="FZ54" s="102"/>
      <c r="GA54" s="102"/>
      <c r="GB54" s="102"/>
      <c r="GC54" s="102"/>
      <c r="GD54" s="102"/>
      <c r="GE54" s="102"/>
      <c r="GF54" s="102"/>
      <c r="GG54" s="102"/>
      <c r="GH54" s="102"/>
      <c r="GI54" s="102"/>
      <c r="GJ54" s="102"/>
      <c r="GK54" s="102"/>
      <c r="GL54" s="102"/>
      <c r="GM54" s="102"/>
      <c r="GN54" s="102"/>
      <c r="GO54" s="102"/>
      <c r="GP54" s="102"/>
      <c r="GQ54" s="102"/>
      <c r="GR54" s="102"/>
      <c r="GS54" s="102"/>
      <c r="GT54" s="102"/>
      <c r="GU54" s="102"/>
      <c r="GV54" s="102"/>
      <c r="GW54" s="102"/>
      <c r="GX54" s="102"/>
      <c r="GY54" s="102"/>
      <c r="GZ54" s="102"/>
      <c r="HA54" s="102"/>
      <c r="HB54" s="102"/>
      <c r="HC54" s="102"/>
      <c r="HD54" s="102"/>
      <c r="HE54" s="102"/>
      <c r="HF54" s="102"/>
      <c r="HG54" s="102"/>
      <c r="HH54" s="102"/>
      <c r="HI54" s="102"/>
      <c r="HJ54" s="102"/>
      <c r="HK54" s="102"/>
      <c r="HL54" s="102"/>
      <c r="HM54" s="102"/>
      <c r="HN54" s="102"/>
      <c r="HO54" s="102"/>
      <c r="HP54" s="102"/>
      <c r="HQ54" s="102"/>
      <c r="HR54" s="102"/>
      <c r="HS54" s="102"/>
      <c r="HT54" s="102"/>
      <c r="HU54" s="102"/>
      <c r="HV54" s="102"/>
      <c r="HW54" s="102"/>
      <c r="HX54" s="102"/>
      <c r="HY54" s="102"/>
      <c r="HZ54" s="102"/>
      <c r="IA54" s="102"/>
      <c r="IB54" s="102"/>
      <c r="IC54" s="102"/>
      <c r="ID54" s="102"/>
      <c r="IE54" s="102"/>
      <c r="IF54" s="102"/>
      <c r="IG54" s="102"/>
      <c r="IH54" s="102"/>
      <c r="II54" s="102"/>
      <c r="IJ54" s="102"/>
      <c r="IT54" s="233"/>
    </row>
    <row r="55" spans="1:254" ht="49.5" customHeight="1">
      <c r="A55" s="150"/>
      <c r="B55" s="378" t="s">
        <v>320</v>
      </c>
      <c r="C55" s="377" t="s">
        <v>317</v>
      </c>
      <c r="D55" s="378" t="s">
        <v>128</v>
      </c>
      <c r="E55" s="357">
        <v>0</v>
      </c>
      <c r="F55" s="379"/>
      <c r="G55" s="380" t="s">
        <v>188</v>
      </c>
      <c r="H55" s="357">
        <v>0</v>
      </c>
      <c r="I55" s="380" t="s">
        <v>188</v>
      </c>
      <c r="J55" s="357">
        <v>0</v>
      </c>
      <c r="K55" s="350">
        <v>2.2320000000000002</v>
      </c>
      <c r="L55" s="356">
        <v>2.2320000000000002</v>
      </c>
      <c r="M55" s="176"/>
      <c r="N55" s="182"/>
      <c r="O55" s="102"/>
      <c r="P55" s="153"/>
      <c r="Q55" s="153"/>
      <c r="R55" s="185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  <c r="EX55" s="102"/>
      <c r="EY55" s="102"/>
      <c r="EZ55" s="102"/>
      <c r="FA55" s="102"/>
      <c r="FB55" s="102"/>
      <c r="FC55" s="102"/>
      <c r="FD55" s="102"/>
      <c r="FE55" s="102"/>
      <c r="FF55" s="102"/>
      <c r="FG55" s="102"/>
      <c r="FH55" s="102"/>
      <c r="FI55" s="102"/>
      <c r="FJ55" s="102"/>
      <c r="FK55" s="102"/>
      <c r="FL55" s="102"/>
      <c r="FM55" s="102"/>
      <c r="FN55" s="102"/>
      <c r="FO55" s="102"/>
      <c r="FP55" s="102"/>
      <c r="FQ55" s="102"/>
      <c r="FR55" s="102"/>
      <c r="FS55" s="102"/>
      <c r="FT55" s="102"/>
      <c r="FU55" s="102"/>
      <c r="FV55" s="102"/>
      <c r="FW55" s="102"/>
      <c r="FX55" s="102"/>
      <c r="FY55" s="102"/>
      <c r="FZ55" s="102"/>
      <c r="GA55" s="102"/>
      <c r="GB55" s="102"/>
      <c r="GC55" s="102"/>
      <c r="GD55" s="102"/>
      <c r="GE55" s="102"/>
      <c r="GF55" s="102"/>
      <c r="GG55" s="102"/>
      <c r="GH55" s="102"/>
      <c r="GI55" s="102"/>
      <c r="GJ55" s="102"/>
      <c r="GK55" s="102"/>
      <c r="GL55" s="102"/>
      <c r="GM55" s="102"/>
      <c r="GN55" s="102"/>
      <c r="GO55" s="102"/>
      <c r="GP55" s="102"/>
      <c r="GQ55" s="102"/>
      <c r="GR55" s="102"/>
      <c r="GS55" s="102"/>
      <c r="GT55" s="102"/>
      <c r="GU55" s="102"/>
      <c r="GV55" s="102"/>
      <c r="GW55" s="102"/>
      <c r="GX55" s="102"/>
      <c r="GY55" s="102"/>
      <c r="GZ55" s="102"/>
      <c r="HA55" s="102"/>
      <c r="HB55" s="102"/>
      <c r="HC55" s="102"/>
      <c r="HD55" s="102"/>
      <c r="HE55" s="102"/>
      <c r="HF55" s="102"/>
      <c r="HG55" s="102"/>
      <c r="HH55" s="102"/>
      <c r="HI55" s="102"/>
      <c r="HJ55" s="102"/>
      <c r="HK55" s="102"/>
      <c r="HL55" s="102"/>
      <c r="HM55" s="102"/>
      <c r="HN55" s="102"/>
      <c r="HO55" s="102"/>
      <c r="HP55" s="102"/>
      <c r="HQ55" s="102"/>
      <c r="HR55" s="102"/>
      <c r="HS55" s="102"/>
      <c r="HT55" s="102"/>
      <c r="HU55" s="102"/>
      <c r="HV55" s="102"/>
      <c r="HW55" s="102"/>
      <c r="HX55" s="102"/>
      <c r="HY55" s="102"/>
      <c r="HZ55" s="102"/>
      <c r="IA55" s="102"/>
      <c r="IB55" s="102"/>
      <c r="IC55" s="102"/>
      <c r="ID55" s="102"/>
      <c r="IE55" s="102"/>
      <c r="IF55" s="102"/>
      <c r="IG55" s="102"/>
      <c r="IH55" s="102"/>
      <c r="II55" s="102"/>
      <c r="IJ55" s="102"/>
      <c r="IT55" s="233"/>
    </row>
    <row r="56" spans="1:254" ht="28.5" customHeight="1">
      <c r="A56" s="150"/>
      <c r="B56" s="129" t="s">
        <v>209</v>
      </c>
      <c r="C56" s="138" t="s">
        <v>210</v>
      </c>
      <c r="D56" s="139" t="s">
        <v>211</v>
      </c>
      <c r="E56" s="191" t="s">
        <v>212</v>
      </c>
      <c r="F56" s="127"/>
      <c r="G56" s="192" t="s">
        <v>207</v>
      </c>
      <c r="H56" s="191" t="s">
        <v>212</v>
      </c>
      <c r="I56" s="192" t="s">
        <v>207</v>
      </c>
      <c r="J56" s="191" t="s">
        <v>212</v>
      </c>
      <c r="K56" s="192" t="s">
        <v>207</v>
      </c>
      <c r="L56" s="191" t="s">
        <v>212</v>
      </c>
      <c r="M56" s="176"/>
      <c r="N56" s="176"/>
      <c r="O56" s="102">
        <f>150*0.912/1000</f>
        <v>0.1368</v>
      </c>
      <c r="P56" s="153"/>
      <c r="Q56" s="102"/>
      <c r="R56" s="148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  <c r="EX56" s="102"/>
      <c r="EY56" s="102"/>
      <c r="EZ56" s="102"/>
      <c r="FA56" s="102"/>
      <c r="FB56" s="102"/>
      <c r="FC56" s="102"/>
      <c r="FD56" s="102"/>
      <c r="FE56" s="102"/>
      <c r="FF56" s="102"/>
      <c r="FG56" s="102"/>
      <c r="FH56" s="102"/>
      <c r="FI56" s="102"/>
      <c r="FJ56" s="102"/>
      <c r="FK56" s="102"/>
      <c r="FL56" s="102"/>
      <c r="FM56" s="102"/>
      <c r="FN56" s="102"/>
      <c r="FO56" s="102"/>
      <c r="FP56" s="102"/>
      <c r="FQ56" s="102"/>
      <c r="FR56" s="102"/>
      <c r="FS56" s="102"/>
      <c r="FT56" s="102"/>
      <c r="FU56" s="102"/>
      <c r="FV56" s="102"/>
      <c r="FW56" s="102"/>
      <c r="FX56" s="102"/>
      <c r="FY56" s="102"/>
      <c r="FZ56" s="102"/>
      <c r="GA56" s="102"/>
      <c r="GB56" s="102"/>
      <c r="GC56" s="102"/>
      <c r="GD56" s="102"/>
      <c r="GE56" s="102"/>
      <c r="GF56" s="102"/>
      <c r="GG56" s="102"/>
      <c r="GH56" s="102"/>
      <c r="GI56" s="102"/>
      <c r="GJ56" s="102"/>
      <c r="GK56" s="102"/>
      <c r="GL56" s="102"/>
      <c r="GM56" s="102"/>
      <c r="GN56" s="102"/>
      <c r="GO56" s="102"/>
      <c r="GP56" s="102"/>
      <c r="GQ56" s="102"/>
      <c r="GR56" s="102"/>
      <c r="GS56" s="102"/>
      <c r="GT56" s="102"/>
      <c r="GU56" s="102"/>
      <c r="GV56" s="102"/>
      <c r="GW56" s="102"/>
      <c r="GX56" s="102"/>
      <c r="GY56" s="102"/>
      <c r="GZ56" s="102"/>
      <c r="HA56" s="102"/>
      <c r="HB56" s="102"/>
      <c r="HC56" s="102"/>
      <c r="HD56" s="102"/>
      <c r="HE56" s="102"/>
      <c r="HF56" s="102"/>
      <c r="HG56" s="102"/>
      <c r="HH56" s="102"/>
      <c r="HI56" s="102"/>
      <c r="HJ56" s="102"/>
      <c r="HK56" s="102"/>
      <c r="HL56" s="102"/>
      <c r="HM56" s="102"/>
      <c r="HN56" s="102"/>
      <c r="HO56" s="102"/>
      <c r="HP56" s="102"/>
      <c r="HQ56" s="102"/>
      <c r="HR56" s="102"/>
      <c r="HS56" s="102"/>
      <c r="HT56" s="102"/>
      <c r="HU56" s="102"/>
      <c r="HV56" s="102"/>
      <c r="HW56" s="102"/>
      <c r="HX56" s="102"/>
      <c r="HY56" s="102"/>
      <c r="HZ56" s="102"/>
      <c r="IA56" s="102"/>
      <c r="IB56" s="102"/>
      <c r="IC56" s="102"/>
      <c r="ID56" s="102"/>
      <c r="IE56" s="102"/>
      <c r="IF56" s="102"/>
      <c r="IG56" s="102"/>
      <c r="IH56" s="102"/>
      <c r="II56" s="102"/>
      <c r="IJ56" s="102"/>
      <c r="IT56" s="233"/>
    </row>
    <row r="57" spans="1:254" ht="21" customHeight="1">
      <c r="A57" s="150"/>
      <c r="B57" s="129" t="s">
        <v>215</v>
      </c>
      <c r="C57" s="138" t="s">
        <v>213</v>
      </c>
      <c r="D57" s="139" t="s">
        <v>211</v>
      </c>
      <c r="E57" s="191" t="s">
        <v>214</v>
      </c>
      <c r="F57" s="127"/>
      <c r="G57" s="192" t="s">
        <v>207</v>
      </c>
      <c r="H57" s="191" t="s">
        <v>214</v>
      </c>
      <c r="I57" s="192" t="s">
        <v>207</v>
      </c>
      <c r="J57" s="191" t="s">
        <v>214</v>
      </c>
      <c r="K57" s="192" t="s">
        <v>207</v>
      </c>
      <c r="L57" s="191" t="s">
        <v>214</v>
      </c>
      <c r="M57" s="176"/>
      <c r="N57" s="176"/>
      <c r="O57" s="102">
        <f>50*0.04/1000</f>
        <v>2E-3</v>
      </c>
      <c r="P57" s="153"/>
      <c r="Q57" s="102"/>
      <c r="R57" s="148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  <c r="EX57" s="102"/>
      <c r="EY57" s="102"/>
      <c r="EZ57" s="102"/>
      <c r="FA57" s="102"/>
      <c r="FB57" s="102"/>
      <c r="FC57" s="102"/>
      <c r="FD57" s="102"/>
      <c r="FE57" s="102"/>
      <c r="FF57" s="102"/>
      <c r="FG57" s="102"/>
      <c r="FH57" s="102"/>
      <c r="FI57" s="102"/>
      <c r="FJ57" s="102"/>
      <c r="FK57" s="102"/>
      <c r="FL57" s="102"/>
      <c r="FM57" s="102"/>
      <c r="FN57" s="102"/>
      <c r="FO57" s="102"/>
      <c r="FP57" s="102"/>
      <c r="FQ57" s="102"/>
      <c r="FR57" s="102"/>
      <c r="FS57" s="102"/>
      <c r="FT57" s="102"/>
      <c r="FU57" s="102"/>
      <c r="FV57" s="102"/>
      <c r="FW57" s="102"/>
      <c r="FX57" s="102"/>
      <c r="FY57" s="102"/>
      <c r="FZ57" s="102"/>
      <c r="GA57" s="102"/>
      <c r="GB57" s="102"/>
      <c r="GC57" s="102"/>
      <c r="GD57" s="102"/>
      <c r="GE57" s="102"/>
      <c r="GF57" s="102"/>
      <c r="GG57" s="102"/>
      <c r="GH57" s="102"/>
      <c r="GI57" s="102"/>
      <c r="GJ57" s="102"/>
      <c r="GK57" s="102"/>
      <c r="GL57" s="102"/>
      <c r="GM57" s="102"/>
      <c r="GN57" s="102"/>
      <c r="GO57" s="102"/>
      <c r="GP57" s="102"/>
      <c r="GQ57" s="102"/>
      <c r="GR57" s="102"/>
      <c r="GS57" s="102"/>
      <c r="GT57" s="102"/>
      <c r="GU57" s="102"/>
      <c r="GV57" s="102"/>
      <c r="GW57" s="102"/>
      <c r="GX57" s="102"/>
      <c r="GY57" s="102"/>
      <c r="GZ57" s="102"/>
      <c r="HA57" s="102"/>
      <c r="HB57" s="102"/>
      <c r="HC57" s="102"/>
      <c r="HD57" s="102"/>
      <c r="HE57" s="102"/>
      <c r="HF57" s="102"/>
      <c r="HG57" s="102"/>
      <c r="HH57" s="102"/>
      <c r="HI57" s="102"/>
      <c r="HJ57" s="102"/>
      <c r="HK57" s="102"/>
      <c r="HL57" s="102"/>
      <c r="HM57" s="102"/>
      <c r="HN57" s="102"/>
      <c r="HO57" s="102"/>
      <c r="HP57" s="102"/>
      <c r="HQ57" s="102"/>
      <c r="HR57" s="102"/>
      <c r="HS57" s="102"/>
      <c r="HT57" s="102"/>
      <c r="HU57" s="102"/>
      <c r="HV57" s="102"/>
      <c r="HW57" s="102"/>
      <c r="HX57" s="102"/>
      <c r="HY57" s="102"/>
      <c r="HZ57" s="102"/>
      <c r="IA57" s="102"/>
      <c r="IB57" s="102"/>
      <c r="IC57" s="102"/>
      <c r="ID57" s="102"/>
      <c r="IE57" s="102"/>
      <c r="IF57" s="102"/>
      <c r="IG57" s="102"/>
      <c r="IH57" s="102"/>
      <c r="II57" s="102"/>
      <c r="IJ57" s="102"/>
      <c r="IT57" s="233"/>
    </row>
    <row r="58" spans="1:254" ht="23.25" customHeight="1">
      <c r="A58" s="150"/>
      <c r="B58" s="129" t="s">
        <v>218</v>
      </c>
      <c r="C58" s="138" t="s">
        <v>216</v>
      </c>
      <c r="D58" s="139" t="s">
        <v>211</v>
      </c>
      <c r="E58" s="191" t="s">
        <v>217</v>
      </c>
      <c r="F58" s="127"/>
      <c r="G58" s="192" t="s">
        <v>207</v>
      </c>
      <c r="H58" s="191" t="s">
        <v>217</v>
      </c>
      <c r="I58" s="192" t="s">
        <v>207</v>
      </c>
      <c r="J58" s="191" t="s">
        <v>217</v>
      </c>
      <c r="K58" s="192" t="s">
        <v>207</v>
      </c>
      <c r="L58" s="191" t="s">
        <v>217</v>
      </c>
      <c r="M58" s="176"/>
      <c r="N58" s="176"/>
      <c r="O58" s="102">
        <f>850*0.01022/1000</f>
        <v>8.6869999999999985E-3</v>
      </c>
      <c r="P58" s="153"/>
      <c r="Q58" s="102"/>
      <c r="R58" s="148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  <c r="EX58" s="102"/>
      <c r="EY58" s="102"/>
      <c r="EZ58" s="102"/>
      <c r="FA58" s="102"/>
      <c r="FB58" s="102"/>
      <c r="FC58" s="102"/>
      <c r="FD58" s="102"/>
      <c r="FE58" s="102"/>
      <c r="FF58" s="102"/>
      <c r="FG58" s="102"/>
      <c r="FH58" s="102"/>
      <c r="FI58" s="102"/>
      <c r="FJ58" s="102"/>
      <c r="FK58" s="102"/>
      <c r="FL58" s="102"/>
      <c r="FM58" s="102"/>
      <c r="FN58" s="102"/>
      <c r="FO58" s="102"/>
      <c r="FP58" s="102"/>
      <c r="FQ58" s="102"/>
      <c r="FR58" s="102"/>
      <c r="FS58" s="102"/>
      <c r="FT58" s="102"/>
      <c r="FU58" s="102"/>
      <c r="FV58" s="102"/>
      <c r="FW58" s="102"/>
      <c r="FX58" s="102"/>
      <c r="FY58" s="102"/>
      <c r="FZ58" s="102"/>
      <c r="GA58" s="102"/>
      <c r="GB58" s="102"/>
      <c r="GC58" s="102"/>
      <c r="GD58" s="102"/>
      <c r="GE58" s="102"/>
      <c r="GF58" s="102"/>
      <c r="GG58" s="102"/>
      <c r="GH58" s="102"/>
      <c r="GI58" s="102"/>
      <c r="GJ58" s="102"/>
      <c r="GK58" s="102"/>
      <c r="GL58" s="102"/>
      <c r="GM58" s="102"/>
      <c r="GN58" s="102"/>
      <c r="GO58" s="102"/>
      <c r="GP58" s="102"/>
      <c r="GQ58" s="102"/>
      <c r="GR58" s="102"/>
      <c r="GS58" s="102"/>
      <c r="GT58" s="102"/>
      <c r="GU58" s="102"/>
      <c r="GV58" s="102"/>
      <c r="GW58" s="102"/>
      <c r="GX58" s="102"/>
      <c r="GY58" s="102"/>
      <c r="GZ58" s="102"/>
      <c r="HA58" s="102"/>
      <c r="HB58" s="102"/>
      <c r="HC58" s="102"/>
      <c r="HD58" s="102"/>
      <c r="HE58" s="102"/>
      <c r="HF58" s="102"/>
      <c r="HG58" s="102"/>
      <c r="HH58" s="102"/>
      <c r="HI58" s="102"/>
      <c r="HJ58" s="102"/>
      <c r="HK58" s="102"/>
      <c r="HL58" s="102"/>
      <c r="HM58" s="102"/>
      <c r="HN58" s="102"/>
      <c r="HO58" s="102"/>
      <c r="HP58" s="102"/>
      <c r="HQ58" s="102"/>
      <c r="HR58" s="102"/>
      <c r="HS58" s="102"/>
      <c r="HT58" s="102"/>
      <c r="HU58" s="102"/>
      <c r="HV58" s="102"/>
      <c r="HW58" s="102"/>
      <c r="HX58" s="102"/>
      <c r="HY58" s="102"/>
      <c r="HZ58" s="102"/>
      <c r="IA58" s="102"/>
      <c r="IB58" s="102"/>
      <c r="IC58" s="102"/>
      <c r="ID58" s="102"/>
      <c r="IE58" s="102"/>
      <c r="IF58" s="102"/>
      <c r="IG58" s="102"/>
      <c r="IH58" s="102"/>
      <c r="II58" s="102"/>
      <c r="IJ58" s="102"/>
      <c r="IT58" s="233"/>
    </row>
    <row r="59" spans="1:254" ht="22.5" customHeight="1">
      <c r="A59" s="150"/>
      <c r="B59" s="129" t="s">
        <v>219</v>
      </c>
      <c r="C59" s="138" t="s">
        <v>220</v>
      </c>
      <c r="D59" s="139" t="s">
        <v>211</v>
      </c>
      <c r="E59" s="191" t="s">
        <v>221</v>
      </c>
      <c r="F59" s="127"/>
      <c r="G59" s="192" t="s">
        <v>207</v>
      </c>
      <c r="H59" s="191" t="s">
        <v>221</v>
      </c>
      <c r="I59" s="192" t="s">
        <v>207</v>
      </c>
      <c r="J59" s="191" t="s">
        <v>221</v>
      </c>
      <c r="K59" s="192" t="s">
        <v>207</v>
      </c>
      <c r="L59" s="191" t="s">
        <v>221</v>
      </c>
      <c r="M59" s="176"/>
      <c r="N59" s="176"/>
      <c r="O59" s="102">
        <f>850*0.003438/1000</f>
        <v>2.9223000000000001E-3</v>
      </c>
      <c r="P59" s="153"/>
      <c r="Q59" s="102"/>
      <c r="R59" s="148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  <c r="EX59" s="102"/>
      <c r="EY59" s="102"/>
      <c r="EZ59" s="102"/>
      <c r="FA59" s="102"/>
      <c r="FB59" s="102"/>
      <c r="FC59" s="102"/>
      <c r="FD59" s="102"/>
      <c r="FE59" s="102"/>
      <c r="FF59" s="102"/>
      <c r="FG59" s="102"/>
      <c r="FH59" s="102"/>
      <c r="FI59" s="102"/>
      <c r="FJ59" s="102"/>
      <c r="FK59" s="102"/>
      <c r="FL59" s="102"/>
      <c r="FM59" s="102"/>
      <c r="FN59" s="102"/>
      <c r="FO59" s="102"/>
      <c r="FP59" s="102"/>
      <c r="FQ59" s="102"/>
      <c r="FR59" s="102"/>
      <c r="FS59" s="102"/>
      <c r="FT59" s="102"/>
      <c r="FU59" s="102"/>
      <c r="FV59" s="102"/>
      <c r="FW59" s="102"/>
      <c r="FX59" s="102"/>
      <c r="FY59" s="102"/>
      <c r="FZ59" s="102"/>
      <c r="GA59" s="102"/>
      <c r="GB59" s="102"/>
      <c r="GC59" s="102"/>
      <c r="GD59" s="102"/>
      <c r="GE59" s="102"/>
      <c r="GF59" s="102"/>
      <c r="GG59" s="102"/>
      <c r="GH59" s="102"/>
      <c r="GI59" s="102"/>
      <c r="GJ59" s="102"/>
      <c r="GK59" s="102"/>
      <c r="GL59" s="102"/>
      <c r="GM59" s="102"/>
      <c r="GN59" s="102"/>
      <c r="GO59" s="102"/>
      <c r="GP59" s="102"/>
      <c r="GQ59" s="102"/>
      <c r="GR59" s="102"/>
      <c r="GS59" s="102"/>
      <c r="GT59" s="102"/>
      <c r="GU59" s="102"/>
      <c r="GV59" s="102"/>
      <c r="GW59" s="102"/>
      <c r="GX59" s="102"/>
      <c r="GY59" s="102"/>
      <c r="GZ59" s="102"/>
      <c r="HA59" s="102"/>
      <c r="HB59" s="102"/>
      <c r="HC59" s="102"/>
      <c r="HD59" s="102"/>
      <c r="HE59" s="102"/>
      <c r="HF59" s="102"/>
      <c r="HG59" s="102"/>
      <c r="HH59" s="102"/>
      <c r="HI59" s="102"/>
      <c r="HJ59" s="102"/>
      <c r="HK59" s="102"/>
      <c r="HL59" s="102"/>
      <c r="HM59" s="102"/>
      <c r="HN59" s="102"/>
      <c r="HO59" s="102"/>
      <c r="HP59" s="102"/>
      <c r="HQ59" s="102"/>
      <c r="HR59" s="102"/>
      <c r="HS59" s="102"/>
      <c r="HT59" s="102"/>
      <c r="HU59" s="102"/>
      <c r="HV59" s="102"/>
      <c r="HW59" s="102"/>
      <c r="HX59" s="102"/>
      <c r="HY59" s="102"/>
      <c r="HZ59" s="102"/>
      <c r="IA59" s="102"/>
      <c r="IB59" s="102"/>
      <c r="IC59" s="102"/>
      <c r="ID59" s="102"/>
      <c r="IE59" s="102"/>
      <c r="IF59" s="102"/>
      <c r="IG59" s="102"/>
      <c r="IH59" s="102"/>
      <c r="II59" s="102"/>
      <c r="IJ59" s="102"/>
      <c r="IT59" s="233"/>
    </row>
    <row r="60" spans="1:254" ht="22.5" customHeight="1">
      <c r="A60" s="150"/>
      <c r="B60" s="208" t="s">
        <v>253</v>
      </c>
      <c r="C60" s="157" t="s">
        <v>255</v>
      </c>
      <c r="D60" s="131" t="s">
        <v>211</v>
      </c>
      <c r="E60" s="196" t="s">
        <v>254</v>
      </c>
      <c r="F60" s="327"/>
      <c r="G60" s="192" t="s">
        <v>207</v>
      </c>
      <c r="H60" s="196" t="s">
        <v>254</v>
      </c>
      <c r="I60" s="192" t="s">
        <v>207</v>
      </c>
      <c r="J60" s="196" t="s">
        <v>254</v>
      </c>
      <c r="K60" s="192" t="s">
        <v>207</v>
      </c>
      <c r="L60" s="196" t="s">
        <v>254</v>
      </c>
      <c r="M60" s="330"/>
      <c r="N60" s="330"/>
      <c r="O60" s="102">
        <f>115*0.04053/1000</f>
        <v>4.6609499999999996E-3</v>
      </c>
      <c r="P60" s="153"/>
      <c r="Q60" s="102"/>
      <c r="R60" s="148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  <c r="EX60" s="102"/>
      <c r="EY60" s="102"/>
      <c r="EZ60" s="102"/>
      <c r="FA60" s="102"/>
      <c r="FB60" s="102"/>
      <c r="FC60" s="102"/>
      <c r="FD60" s="102"/>
      <c r="FE60" s="102"/>
      <c r="FF60" s="102"/>
      <c r="FG60" s="102"/>
      <c r="FH60" s="102"/>
      <c r="FI60" s="102"/>
      <c r="FJ60" s="102"/>
      <c r="FK60" s="102"/>
      <c r="FL60" s="102"/>
      <c r="FM60" s="102"/>
      <c r="FN60" s="102"/>
      <c r="FO60" s="102"/>
      <c r="FP60" s="102"/>
      <c r="FQ60" s="102"/>
      <c r="FR60" s="102"/>
      <c r="FS60" s="102"/>
      <c r="FT60" s="102"/>
      <c r="FU60" s="102"/>
      <c r="FV60" s="102"/>
      <c r="FW60" s="102"/>
      <c r="FX60" s="102"/>
      <c r="FY60" s="102"/>
      <c r="FZ60" s="102"/>
      <c r="GA60" s="102"/>
      <c r="GB60" s="102"/>
      <c r="GC60" s="102"/>
      <c r="GD60" s="102"/>
      <c r="GE60" s="102"/>
      <c r="GF60" s="102"/>
      <c r="GG60" s="102"/>
      <c r="GH60" s="102"/>
      <c r="GI60" s="102"/>
      <c r="GJ60" s="102"/>
      <c r="GK60" s="102"/>
      <c r="GL60" s="102"/>
      <c r="GM60" s="102"/>
      <c r="GN60" s="102"/>
      <c r="GO60" s="102"/>
      <c r="GP60" s="102"/>
      <c r="GQ60" s="102"/>
      <c r="GR60" s="102"/>
      <c r="GS60" s="102"/>
      <c r="GT60" s="102"/>
      <c r="GU60" s="102"/>
      <c r="GV60" s="102"/>
      <c r="GW60" s="102"/>
      <c r="GX60" s="102"/>
      <c r="GY60" s="102"/>
      <c r="GZ60" s="102"/>
      <c r="HA60" s="102"/>
      <c r="HB60" s="102"/>
      <c r="HC60" s="102"/>
      <c r="HD60" s="102"/>
      <c r="HE60" s="102"/>
      <c r="HF60" s="102"/>
      <c r="HG60" s="102"/>
      <c r="HH60" s="102"/>
      <c r="HI60" s="102"/>
      <c r="HJ60" s="102"/>
      <c r="HK60" s="102"/>
      <c r="HL60" s="102"/>
      <c r="HM60" s="102"/>
      <c r="HN60" s="102"/>
      <c r="HO60" s="102"/>
      <c r="HP60" s="102"/>
      <c r="HQ60" s="102"/>
      <c r="HR60" s="102"/>
      <c r="HS60" s="102"/>
      <c r="HT60" s="102"/>
      <c r="HU60" s="102"/>
      <c r="HV60" s="102"/>
      <c r="HW60" s="102"/>
      <c r="HX60" s="102"/>
      <c r="HY60" s="102"/>
      <c r="HZ60" s="102"/>
      <c r="IA60" s="102"/>
      <c r="IB60" s="102"/>
      <c r="IC60" s="102"/>
      <c r="ID60" s="102"/>
      <c r="IE60" s="102"/>
      <c r="IF60" s="102"/>
      <c r="IG60" s="102"/>
      <c r="IH60" s="102"/>
      <c r="II60" s="102"/>
      <c r="IJ60" s="102"/>
      <c r="IT60" s="233"/>
    </row>
    <row r="61" spans="1:254" ht="35.25" customHeight="1">
      <c r="A61" s="150"/>
      <c r="B61" s="132" t="s">
        <v>257</v>
      </c>
      <c r="C61" s="101" t="s">
        <v>256</v>
      </c>
      <c r="D61" s="133" t="s">
        <v>211</v>
      </c>
      <c r="E61" s="189" t="s">
        <v>258</v>
      </c>
      <c r="F61" s="126"/>
      <c r="G61" s="201" t="s">
        <v>207</v>
      </c>
      <c r="H61" s="189" t="s">
        <v>258</v>
      </c>
      <c r="I61" s="201" t="s">
        <v>207</v>
      </c>
      <c r="J61" s="189" t="s">
        <v>258</v>
      </c>
      <c r="K61" s="201" t="s">
        <v>207</v>
      </c>
      <c r="L61" s="189" t="s">
        <v>258</v>
      </c>
      <c r="M61" s="202"/>
      <c r="N61" s="202"/>
      <c r="O61" s="102">
        <f>115*0.102/1000</f>
        <v>1.1729999999999999E-2</v>
      </c>
      <c r="P61" s="153"/>
      <c r="Q61" s="102"/>
      <c r="R61" s="148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  <c r="EX61" s="102"/>
      <c r="EY61" s="102"/>
      <c r="EZ61" s="102"/>
      <c r="FA61" s="102"/>
      <c r="FB61" s="102"/>
      <c r="FC61" s="102"/>
      <c r="FD61" s="102"/>
      <c r="FE61" s="102"/>
      <c r="FF61" s="102"/>
      <c r="FG61" s="102"/>
      <c r="FH61" s="102"/>
      <c r="FI61" s="102"/>
      <c r="FJ61" s="102"/>
      <c r="FK61" s="102"/>
      <c r="FL61" s="102"/>
      <c r="FM61" s="102"/>
      <c r="FN61" s="102"/>
      <c r="FO61" s="102"/>
      <c r="FP61" s="102"/>
      <c r="FQ61" s="102"/>
      <c r="FR61" s="102"/>
      <c r="FS61" s="102"/>
      <c r="FT61" s="102"/>
      <c r="FU61" s="102"/>
      <c r="FV61" s="102"/>
      <c r="FW61" s="102"/>
      <c r="FX61" s="102"/>
      <c r="FY61" s="102"/>
      <c r="FZ61" s="102"/>
      <c r="GA61" s="102"/>
      <c r="GB61" s="102"/>
      <c r="GC61" s="102"/>
      <c r="GD61" s="102"/>
      <c r="GE61" s="102"/>
      <c r="GF61" s="102"/>
      <c r="GG61" s="102"/>
      <c r="GH61" s="102"/>
      <c r="GI61" s="102"/>
      <c r="GJ61" s="102"/>
      <c r="GK61" s="102"/>
      <c r="GL61" s="102"/>
      <c r="GM61" s="102"/>
      <c r="GN61" s="102"/>
      <c r="GO61" s="102"/>
      <c r="GP61" s="102"/>
      <c r="GQ61" s="102"/>
      <c r="GR61" s="102"/>
      <c r="GS61" s="102"/>
      <c r="GT61" s="102"/>
      <c r="GU61" s="102"/>
      <c r="GV61" s="102"/>
      <c r="GW61" s="102"/>
      <c r="GX61" s="102"/>
      <c r="GY61" s="102"/>
      <c r="GZ61" s="102"/>
      <c r="HA61" s="102"/>
      <c r="HB61" s="102"/>
      <c r="HC61" s="102"/>
      <c r="HD61" s="102"/>
      <c r="HE61" s="102"/>
      <c r="HF61" s="102"/>
      <c r="HG61" s="102"/>
      <c r="HH61" s="102"/>
      <c r="HI61" s="102"/>
      <c r="HJ61" s="102"/>
      <c r="HK61" s="102"/>
      <c r="HL61" s="102"/>
      <c r="HM61" s="102"/>
      <c r="HN61" s="102"/>
      <c r="HO61" s="102"/>
      <c r="HP61" s="102"/>
      <c r="HQ61" s="102"/>
      <c r="HR61" s="102"/>
      <c r="HS61" s="102"/>
      <c r="HT61" s="102"/>
      <c r="HU61" s="102"/>
      <c r="HV61" s="102"/>
      <c r="HW61" s="102"/>
      <c r="HX61" s="102"/>
      <c r="HY61" s="102"/>
      <c r="HZ61" s="102"/>
      <c r="IA61" s="102"/>
      <c r="IB61" s="102"/>
      <c r="IC61" s="102"/>
      <c r="ID61" s="102"/>
      <c r="IE61" s="102"/>
      <c r="IF61" s="102"/>
      <c r="IG61" s="102"/>
      <c r="IH61" s="102"/>
      <c r="II61" s="102"/>
      <c r="IJ61" s="102"/>
      <c r="IT61" s="233" t="s">
        <v>337</v>
      </c>
    </row>
    <row r="62" spans="1:254" ht="171.75" customHeight="1" thickBot="1">
      <c r="A62" s="265" t="s">
        <v>289</v>
      </c>
      <c r="B62" s="268"/>
      <c r="C62" s="269"/>
      <c r="D62" s="270"/>
      <c r="E62" s="276"/>
      <c r="F62" s="271"/>
      <c r="G62" s="331"/>
      <c r="H62" s="276"/>
      <c r="I62" s="331"/>
      <c r="J62" s="276"/>
      <c r="K62" s="331"/>
      <c r="L62" s="276"/>
      <c r="M62" s="277"/>
      <c r="N62" s="332"/>
      <c r="O62" s="102"/>
      <c r="P62" s="153"/>
      <c r="Q62" s="102"/>
      <c r="R62" s="148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  <c r="EX62" s="102"/>
      <c r="EY62" s="102"/>
      <c r="EZ62" s="102"/>
      <c r="FA62" s="102"/>
      <c r="FB62" s="102"/>
      <c r="FC62" s="102"/>
      <c r="FD62" s="102"/>
      <c r="FE62" s="102"/>
      <c r="FF62" s="102"/>
      <c r="FG62" s="102"/>
      <c r="FH62" s="102"/>
      <c r="FI62" s="102"/>
      <c r="FJ62" s="102"/>
      <c r="FK62" s="102"/>
      <c r="FL62" s="102"/>
      <c r="FM62" s="102"/>
      <c r="FN62" s="102"/>
      <c r="FO62" s="102"/>
      <c r="FP62" s="102"/>
      <c r="FQ62" s="102"/>
      <c r="FR62" s="102"/>
      <c r="FS62" s="102"/>
      <c r="FT62" s="102"/>
      <c r="FU62" s="102"/>
      <c r="FV62" s="102"/>
      <c r="FW62" s="102"/>
      <c r="FX62" s="102"/>
      <c r="FY62" s="102"/>
      <c r="FZ62" s="102"/>
      <c r="GA62" s="102"/>
      <c r="GB62" s="102"/>
      <c r="GC62" s="102"/>
      <c r="GD62" s="102"/>
      <c r="GE62" s="102"/>
      <c r="GF62" s="102"/>
      <c r="GG62" s="102"/>
      <c r="GH62" s="102"/>
      <c r="GI62" s="102"/>
      <c r="GJ62" s="102"/>
      <c r="GK62" s="102"/>
      <c r="GL62" s="102"/>
      <c r="GM62" s="102"/>
      <c r="GN62" s="102"/>
      <c r="GO62" s="102"/>
      <c r="GP62" s="102"/>
      <c r="GQ62" s="102"/>
      <c r="GR62" s="102"/>
      <c r="GS62" s="102"/>
      <c r="GT62" s="102"/>
      <c r="GU62" s="102"/>
      <c r="GV62" s="102"/>
      <c r="GW62" s="102"/>
      <c r="GX62" s="102"/>
      <c r="GY62" s="102"/>
      <c r="GZ62" s="102"/>
      <c r="HA62" s="102"/>
      <c r="HB62" s="102"/>
      <c r="HC62" s="102"/>
      <c r="HD62" s="102"/>
      <c r="HE62" s="102"/>
      <c r="HF62" s="102"/>
      <c r="HG62" s="102"/>
      <c r="HH62" s="102"/>
      <c r="HI62" s="102"/>
      <c r="HJ62" s="102"/>
      <c r="HK62" s="102"/>
      <c r="HL62" s="102"/>
      <c r="HM62" s="102"/>
      <c r="HN62" s="102"/>
      <c r="HO62" s="102"/>
      <c r="HP62" s="102"/>
      <c r="HQ62" s="102"/>
      <c r="HR62" s="102"/>
      <c r="HS62" s="102"/>
      <c r="HT62" s="102"/>
      <c r="HU62" s="102"/>
      <c r="HV62" s="102"/>
      <c r="HW62" s="102"/>
      <c r="HX62" s="102"/>
      <c r="HY62" s="102"/>
      <c r="HZ62" s="102"/>
      <c r="IA62" s="102"/>
      <c r="IB62" s="102"/>
      <c r="IC62" s="102"/>
      <c r="ID62" s="102"/>
      <c r="IE62" s="102"/>
      <c r="IF62" s="102"/>
      <c r="IG62" s="102"/>
      <c r="IH62" s="102"/>
      <c r="II62" s="102"/>
      <c r="IJ62" s="102"/>
      <c r="IT62" s="233"/>
    </row>
    <row r="63" spans="1:254" ht="30" customHeight="1" thickBot="1">
      <c r="A63" s="265" t="s">
        <v>289</v>
      </c>
      <c r="B63" s="275"/>
      <c r="C63" s="278"/>
      <c r="D63" s="279"/>
      <c r="E63" s="281"/>
      <c r="F63" s="280"/>
      <c r="G63" s="333"/>
      <c r="H63" s="281"/>
      <c r="I63" s="333"/>
      <c r="J63" s="281"/>
      <c r="K63" s="333"/>
      <c r="L63" s="281"/>
      <c r="M63" s="283"/>
      <c r="N63" s="283"/>
      <c r="O63" s="102"/>
      <c r="P63" s="153"/>
      <c r="Q63" s="102"/>
      <c r="R63" s="148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  <c r="EX63" s="102"/>
      <c r="EY63" s="102"/>
      <c r="EZ63" s="102"/>
      <c r="FA63" s="102"/>
      <c r="FB63" s="102"/>
      <c r="FC63" s="102"/>
      <c r="FD63" s="102"/>
      <c r="FE63" s="102"/>
      <c r="FF63" s="102"/>
      <c r="FG63" s="102"/>
      <c r="FH63" s="102"/>
      <c r="FI63" s="102"/>
      <c r="FJ63" s="102"/>
      <c r="FK63" s="102"/>
      <c r="FL63" s="102"/>
      <c r="FM63" s="102"/>
      <c r="FN63" s="102"/>
      <c r="FO63" s="102"/>
      <c r="FP63" s="102"/>
      <c r="FQ63" s="102"/>
      <c r="FR63" s="102"/>
      <c r="FS63" s="102"/>
      <c r="FT63" s="102"/>
      <c r="FU63" s="102"/>
      <c r="FV63" s="102"/>
      <c r="FW63" s="102"/>
      <c r="FX63" s="102"/>
      <c r="FY63" s="102"/>
      <c r="FZ63" s="102"/>
      <c r="GA63" s="102"/>
      <c r="GB63" s="102"/>
      <c r="GC63" s="102"/>
      <c r="GD63" s="102"/>
      <c r="GE63" s="102"/>
      <c r="GF63" s="102"/>
      <c r="GG63" s="102"/>
      <c r="GH63" s="102"/>
      <c r="GI63" s="102"/>
      <c r="GJ63" s="102"/>
      <c r="GK63" s="102"/>
      <c r="GL63" s="102"/>
      <c r="GM63" s="102"/>
      <c r="GN63" s="102"/>
      <c r="GO63" s="102"/>
      <c r="GP63" s="102"/>
      <c r="GQ63" s="102"/>
      <c r="GR63" s="102"/>
      <c r="GS63" s="102"/>
      <c r="GT63" s="102"/>
      <c r="GU63" s="102"/>
      <c r="GV63" s="102"/>
      <c r="GW63" s="102"/>
      <c r="GX63" s="102"/>
      <c r="GY63" s="102"/>
      <c r="GZ63" s="102"/>
      <c r="HA63" s="102"/>
      <c r="HB63" s="102"/>
      <c r="HC63" s="102"/>
      <c r="HD63" s="102"/>
      <c r="HE63" s="102"/>
      <c r="HF63" s="102"/>
      <c r="HG63" s="102"/>
      <c r="HH63" s="102"/>
      <c r="HI63" s="102"/>
      <c r="HJ63" s="102"/>
      <c r="HK63" s="102"/>
      <c r="HL63" s="102"/>
      <c r="HM63" s="102"/>
      <c r="HN63" s="102"/>
      <c r="HO63" s="102"/>
      <c r="HP63" s="102"/>
      <c r="HQ63" s="102"/>
      <c r="HR63" s="102"/>
      <c r="HS63" s="102"/>
      <c r="HT63" s="102"/>
      <c r="HU63" s="102"/>
      <c r="HV63" s="102"/>
      <c r="HW63" s="102"/>
      <c r="HX63" s="102"/>
      <c r="HY63" s="102"/>
      <c r="HZ63" s="102"/>
      <c r="IA63" s="102"/>
      <c r="IB63" s="102"/>
      <c r="IC63" s="102"/>
      <c r="ID63" s="102"/>
      <c r="IE63" s="102"/>
      <c r="IF63" s="102"/>
      <c r="IG63" s="102"/>
      <c r="IH63" s="102"/>
      <c r="II63" s="102"/>
      <c r="IJ63" s="102"/>
      <c r="IT63" s="233"/>
    </row>
    <row r="64" spans="1:254" ht="36" customHeight="1" thickBot="1">
      <c r="A64" s="274" t="s">
        <v>289</v>
      </c>
      <c r="B64" s="487" t="s">
        <v>35</v>
      </c>
      <c r="C64" s="487" t="s">
        <v>36</v>
      </c>
      <c r="D64" s="487" t="s">
        <v>37</v>
      </c>
      <c r="E64" s="487" t="s">
        <v>91</v>
      </c>
      <c r="F64" s="487" t="s">
        <v>18</v>
      </c>
      <c r="G64" s="479" t="s">
        <v>99</v>
      </c>
      <c r="H64" s="481"/>
      <c r="I64" s="481"/>
      <c r="J64" s="481"/>
      <c r="K64" s="481"/>
      <c r="L64" s="481"/>
      <c r="M64" s="481"/>
      <c r="N64" s="482"/>
      <c r="O64" s="229"/>
      <c r="P64" s="229"/>
      <c r="Q64" s="229"/>
      <c r="R64" s="230"/>
    </row>
    <row r="65" spans="1:254" ht="15.75" customHeight="1" thickBot="1">
      <c r="A65" s="274" t="s">
        <v>289</v>
      </c>
      <c r="B65" s="488"/>
      <c r="C65" s="488"/>
      <c r="D65" s="488"/>
      <c r="E65" s="488"/>
      <c r="F65" s="488"/>
      <c r="G65" s="479" t="s">
        <v>260</v>
      </c>
      <c r="H65" s="480"/>
      <c r="I65" s="479" t="s">
        <v>303</v>
      </c>
      <c r="J65" s="480"/>
      <c r="K65" s="479" t="s">
        <v>340</v>
      </c>
      <c r="L65" s="480"/>
      <c r="M65" s="479" t="s">
        <v>259</v>
      </c>
      <c r="N65" s="480"/>
      <c r="R65" s="232"/>
    </row>
    <row r="66" spans="1:254" ht="16.5" thickBot="1">
      <c r="A66" s="274" t="s">
        <v>289</v>
      </c>
      <c r="B66" s="489"/>
      <c r="C66" s="489"/>
      <c r="D66" s="489"/>
      <c r="E66" s="489"/>
      <c r="F66" s="489"/>
      <c r="G66" s="162" t="s">
        <v>187</v>
      </c>
      <c r="H66" s="147" t="s">
        <v>38</v>
      </c>
      <c r="I66" s="162" t="s">
        <v>187</v>
      </c>
      <c r="J66" s="147" t="s">
        <v>38</v>
      </c>
      <c r="K66" s="162" t="s">
        <v>187</v>
      </c>
      <c r="L66" s="147" t="s">
        <v>38</v>
      </c>
      <c r="M66" s="162" t="s">
        <v>187</v>
      </c>
      <c r="N66" s="147" t="s">
        <v>38</v>
      </c>
      <c r="R66" s="232"/>
    </row>
    <row r="67" spans="1:254">
      <c r="A67" s="274" t="s">
        <v>289</v>
      </c>
      <c r="B67" s="163" t="s">
        <v>114</v>
      </c>
      <c r="C67" s="117" t="s">
        <v>115</v>
      </c>
      <c r="D67" s="117" t="s">
        <v>116</v>
      </c>
      <c r="E67" s="117" t="s">
        <v>117</v>
      </c>
      <c r="F67" s="116" t="s">
        <v>118</v>
      </c>
      <c r="G67" s="163" t="s">
        <v>119</v>
      </c>
      <c r="H67" s="113" t="s">
        <v>120</v>
      </c>
      <c r="I67" s="114">
        <v>8</v>
      </c>
      <c r="J67" s="115">
        <v>9</v>
      </c>
      <c r="K67" s="106">
        <v>10</v>
      </c>
      <c r="L67" s="115">
        <v>11</v>
      </c>
      <c r="M67" s="106">
        <v>12</v>
      </c>
      <c r="N67" s="115">
        <v>13</v>
      </c>
      <c r="O67" s="102"/>
      <c r="P67" s="102"/>
      <c r="Q67" s="102"/>
      <c r="R67" s="148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2"/>
      <c r="FL67" s="102"/>
      <c r="FM67" s="102"/>
      <c r="FN67" s="102"/>
      <c r="FO67" s="102"/>
      <c r="FP67" s="102"/>
      <c r="FQ67" s="102"/>
      <c r="FR67" s="102"/>
      <c r="FS67" s="102"/>
      <c r="FT67" s="102"/>
      <c r="FU67" s="102"/>
      <c r="FV67" s="102"/>
      <c r="FW67" s="102"/>
      <c r="FX67" s="102"/>
      <c r="FY67" s="102"/>
      <c r="FZ67" s="102"/>
      <c r="GA67" s="102"/>
      <c r="GB67" s="102"/>
      <c r="GC67" s="102"/>
      <c r="GD67" s="102"/>
      <c r="GE67" s="102"/>
      <c r="GF67" s="102"/>
      <c r="GG67" s="102"/>
      <c r="GH67" s="102"/>
      <c r="GI67" s="102"/>
      <c r="GJ67" s="102"/>
      <c r="GK67" s="102"/>
      <c r="GL67" s="102"/>
      <c r="GM67" s="102"/>
      <c r="GN67" s="102"/>
      <c r="GO67" s="102"/>
      <c r="GP67" s="102"/>
      <c r="GQ67" s="102"/>
      <c r="GR67" s="102"/>
      <c r="GS67" s="102"/>
      <c r="GT67" s="102"/>
      <c r="GU67" s="102"/>
      <c r="GV67" s="102"/>
      <c r="GW67" s="102"/>
      <c r="GX67" s="102"/>
      <c r="GY67" s="102"/>
      <c r="GZ67" s="102"/>
      <c r="HA67" s="102"/>
      <c r="HB67" s="102"/>
      <c r="HC67" s="102"/>
      <c r="HD67" s="102"/>
      <c r="HE67" s="102"/>
      <c r="HF67" s="102"/>
      <c r="HG67" s="102"/>
      <c r="HH67" s="102"/>
      <c r="HI67" s="102"/>
      <c r="HJ67" s="102"/>
      <c r="HK67" s="102"/>
      <c r="HL67" s="102"/>
      <c r="HM67" s="102"/>
      <c r="HN67" s="102"/>
      <c r="HO67" s="102"/>
      <c r="HP67" s="102"/>
      <c r="HQ67" s="102"/>
      <c r="HR67" s="102"/>
      <c r="HS67" s="102"/>
      <c r="HT67" s="102"/>
      <c r="HU67" s="102"/>
      <c r="HV67" s="102"/>
      <c r="HW67" s="102"/>
      <c r="HX67" s="102"/>
      <c r="HY67" s="102"/>
      <c r="HZ67" s="102"/>
      <c r="IA67" s="102"/>
      <c r="IB67" s="102"/>
      <c r="IC67" s="102"/>
      <c r="ID67" s="102"/>
      <c r="IE67" s="102"/>
      <c r="IF67" s="102"/>
      <c r="IG67" s="102"/>
      <c r="IH67" s="102"/>
      <c r="II67" s="102"/>
      <c r="IJ67" s="102"/>
    </row>
    <row r="68" spans="1:254" ht="141.75">
      <c r="A68" s="150"/>
      <c r="B68" s="382" t="s">
        <v>163</v>
      </c>
      <c r="C68" s="138" t="s">
        <v>270</v>
      </c>
      <c r="D68" s="139" t="s">
        <v>128</v>
      </c>
      <c r="E68" s="124">
        <v>0.47399999999999998</v>
      </c>
      <c r="F68" s="124"/>
      <c r="G68" s="191" t="s">
        <v>188</v>
      </c>
      <c r="H68" s="124">
        <v>0.47399999999999998</v>
      </c>
      <c r="I68" s="191" t="s">
        <v>188</v>
      </c>
      <c r="J68" s="124">
        <v>0.47399999999999998</v>
      </c>
      <c r="K68" s="350">
        <v>-0.47399999999999998</v>
      </c>
      <c r="L68" s="358">
        <v>0</v>
      </c>
      <c r="M68" s="176"/>
      <c r="N68" s="198"/>
      <c r="O68" s="102">
        <f>0.017264+0.31808+0.23296+0.056269+0.064954</f>
        <v>0.68952699999999989</v>
      </c>
      <c r="P68" s="153">
        <f>O68-E68</f>
        <v>0.21552699999999991</v>
      </c>
      <c r="Q68" s="102"/>
      <c r="R68" s="204">
        <f>0.2262+0.11934+0.07072+0.00264+0.0095+0.04582</f>
        <v>0.47421999999999997</v>
      </c>
      <c r="S68" s="205">
        <f>R68-L68</f>
        <v>0.47421999999999997</v>
      </c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2"/>
      <c r="FL68" s="102"/>
      <c r="FM68" s="102"/>
      <c r="FN68" s="102"/>
      <c r="FO68" s="102"/>
      <c r="FP68" s="102"/>
      <c r="FQ68" s="102"/>
      <c r="FR68" s="102"/>
      <c r="FS68" s="102"/>
      <c r="FT68" s="102"/>
      <c r="FU68" s="102"/>
      <c r="FV68" s="102"/>
      <c r="FW68" s="102"/>
      <c r="FX68" s="102"/>
      <c r="FY68" s="102"/>
      <c r="FZ68" s="102"/>
      <c r="GA68" s="102"/>
      <c r="GB68" s="102"/>
      <c r="GC68" s="102"/>
      <c r="GD68" s="102"/>
      <c r="GE68" s="102"/>
      <c r="GF68" s="102"/>
      <c r="GG68" s="102"/>
      <c r="GH68" s="102"/>
      <c r="GI68" s="102"/>
      <c r="GJ68" s="102"/>
      <c r="GK68" s="102"/>
      <c r="GL68" s="102"/>
      <c r="GM68" s="102"/>
      <c r="GN68" s="102"/>
      <c r="GO68" s="102"/>
      <c r="GP68" s="102"/>
      <c r="GQ68" s="102"/>
      <c r="GR68" s="102"/>
      <c r="GS68" s="102"/>
      <c r="GT68" s="102"/>
      <c r="GU68" s="102"/>
      <c r="GV68" s="102"/>
      <c r="GW68" s="102"/>
      <c r="GX68" s="102"/>
      <c r="GY68" s="102"/>
      <c r="GZ68" s="102"/>
      <c r="HA68" s="102"/>
      <c r="HB68" s="102"/>
      <c r="HC68" s="102"/>
      <c r="HD68" s="102"/>
      <c r="HE68" s="102"/>
      <c r="HF68" s="102"/>
      <c r="HG68" s="102"/>
      <c r="HH68" s="102"/>
      <c r="HI68" s="102"/>
      <c r="HJ68" s="102"/>
      <c r="HK68" s="102"/>
      <c r="HL68" s="102"/>
      <c r="HM68" s="102"/>
      <c r="HN68" s="102"/>
      <c r="HO68" s="102"/>
      <c r="HP68" s="102"/>
      <c r="HQ68" s="102"/>
      <c r="HR68" s="102"/>
      <c r="HS68" s="102"/>
      <c r="HT68" s="102"/>
      <c r="HU68" s="102"/>
      <c r="HV68" s="102"/>
      <c r="HW68" s="102"/>
      <c r="HX68" s="102"/>
      <c r="HY68" s="102"/>
      <c r="HZ68" s="102"/>
      <c r="IA68" s="102"/>
      <c r="IB68" s="102"/>
      <c r="IC68" s="102"/>
      <c r="ID68" s="102"/>
      <c r="IE68" s="102"/>
      <c r="IF68" s="102"/>
      <c r="IG68" s="102"/>
      <c r="IH68" s="102"/>
      <c r="II68" s="102"/>
      <c r="IJ68" s="102"/>
      <c r="IT68" s="233"/>
    </row>
    <row r="69" spans="1:254" ht="63">
      <c r="A69" s="150"/>
      <c r="B69" s="378" t="s">
        <v>321</v>
      </c>
      <c r="C69" s="377" t="s">
        <v>318</v>
      </c>
      <c r="D69" s="378" t="s">
        <v>128</v>
      </c>
      <c r="E69" s="360">
        <v>0</v>
      </c>
      <c r="F69" s="379"/>
      <c r="G69" s="350" t="s">
        <v>188</v>
      </c>
      <c r="H69" s="360">
        <v>0</v>
      </c>
      <c r="I69" s="350" t="s">
        <v>188</v>
      </c>
      <c r="J69" s="360">
        <v>0</v>
      </c>
      <c r="K69" s="350">
        <v>0.22500000000000001</v>
      </c>
      <c r="L69" s="379">
        <v>0.22500000000000001</v>
      </c>
      <c r="M69" s="176"/>
      <c r="N69" s="211"/>
      <c r="O69" s="102"/>
      <c r="P69" s="153"/>
      <c r="Q69" s="102"/>
      <c r="R69" s="204"/>
      <c r="S69" s="205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  <c r="EX69" s="102"/>
      <c r="EY69" s="102"/>
      <c r="EZ69" s="102"/>
      <c r="FA69" s="102"/>
      <c r="FB69" s="102"/>
      <c r="FC69" s="102"/>
      <c r="FD69" s="102"/>
      <c r="FE69" s="102"/>
      <c r="FF69" s="102"/>
      <c r="FG69" s="102"/>
      <c r="FH69" s="102"/>
      <c r="FI69" s="102"/>
      <c r="FJ69" s="102"/>
      <c r="FK69" s="102"/>
      <c r="FL69" s="102"/>
      <c r="FM69" s="102"/>
      <c r="FN69" s="102"/>
      <c r="FO69" s="102"/>
      <c r="FP69" s="102"/>
      <c r="FQ69" s="102"/>
      <c r="FR69" s="102"/>
      <c r="FS69" s="102"/>
      <c r="FT69" s="102"/>
      <c r="FU69" s="102"/>
      <c r="FV69" s="102"/>
      <c r="FW69" s="102"/>
      <c r="FX69" s="102"/>
      <c r="FY69" s="102"/>
      <c r="FZ69" s="102"/>
      <c r="GA69" s="102"/>
      <c r="GB69" s="102"/>
      <c r="GC69" s="102"/>
      <c r="GD69" s="102"/>
      <c r="GE69" s="102"/>
      <c r="GF69" s="102"/>
      <c r="GG69" s="102"/>
      <c r="GH69" s="102"/>
      <c r="GI69" s="102"/>
      <c r="GJ69" s="102"/>
      <c r="GK69" s="102"/>
      <c r="GL69" s="102"/>
      <c r="GM69" s="102"/>
      <c r="GN69" s="102"/>
      <c r="GO69" s="102"/>
      <c r="GP69" s="102"/>
      <c r="GQ69" s="102"/>
      <c r="GR69" s="102"/>
      <c r="GS69" s="102"/>
      <c r="GT69" s="102"/>
      <c r="GU69" s="102"/>
      <c r="GV69" s="102"/>
      <c r="GW69" s="102"/>
      <c r="GX69" s="102"/>
      <c r="GY69" s="102"/>
      <c r="GZ69" s="102"/>
      <c r="HA69" s="102"/>
      <c r="HB69" s="102"/>
      <c r="HC69" s="102"/>
      <c r="HD69" s="102"/>
      <c r="HE69" s="102"/>
      <c r="HF69" s="102"/>
      <c r="HG69" s="102"/>
      <c r="HH69" s="102"/>
      <c r="HI69" s="102"/>
      <c r="HJ69" s="102"/>
      <c r="HK69" s="102"/>
      <c r="HL69" s="102"/>
      <c r="HM69" s="102"/>
      <c r="HN69" s="102"/>
      <c r="HO69" s="102"/>
      <c r="HP69" s="102"/>
      <c r="HQ69" s="102"/>
      <c r="HR69" s="102"/>
      <c r="HS69" s="102"/>
      <c r="HT69" s="102"/>
      <c r="HU69" s="102"/>
      <c r="HV69" s="102"/>
      <c r="HW69" s="102"/>
      <c r="HX69" s="102"/>
      <c r="HY69" s="102"/>
      <c r="HZ69" s="102"/>
      <c r="IA69" s="102"/>
      <c r="IB69" s="102"/>
      <c r="IC69" s="102"/>
      <c r="ID69" s="102"/>
      <c r="IE69" s="102"/>
      <c r="IF69" s="102"/>
      <c r="IG69" s="102"/>
      <c r="IH69" s="102"/>
      <c r="II69" s="102"/>
      <c r="IJ69" s="102"/>
      <c r="IT69" s="233"/>
    </row>
    <row r="70" spans="1:254" ht="220.5">
      <c r="A70" s="150"/>
      <c r="B70" s="382" t="s">
        <v>164</v>
      </c>
      <c r="C70" s="138" t="s">
        <v>271</v>
      </c>
      <c r="D70" s="139" t="s">
        <v>128</v>
      </c>
      <c r="E70" s="127">
        <v>10.526</v>
      </c>
      <c r="F70" s="127"/>
      <c r="G70" s="191" t="s">
        <v>188</v>
      </c>
      <c r="H70" s="127">
        <v>10.526</v>
      </c>
      <c r="I70" s="191" t="s">
        <v>188</v>
      </c>
      <c r="J70" s="127">
        <v>10.526</v>
      </c>
      <c r="K70" s="350">
        <v>-10.526</v>
      </c>
      <c r="L70" s="360">
        <v>0</v>
      </c>
      <c r="M70" s="176"/>
      <c r="N70" s="211"/>
      <c r="O70" s="102">
        <f>4.438035+0.417246+0.257785+0.920465+0.07919+0.800175+0.0164+0.004662+0.00139</f>
        <v>6.9353479999999994</v>
      </c>
      <c r="P70" s="153">
        <f>O70-E70</f>
        <v>-3.5906520000000004</v>
      </c>
      <c r="Q70" s="206">
        <f>(7922+384.77+243.18+25.66+82+800.175+16.4+4.662+1.39+440+65+130+242+166+2.9)/1000</f>
        <v>10.526136999999999</v>
      </c>
      <c r="R70" s="207">
        <f>Q70-L70</f>
        <v>10.526136999999999</v>
      </c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  <c r="EX70" s="102"/>
      <c r="EY70" s="102"/>
      <c r="EZ70" s="102"/>
      <c r="FA70" s="102"/>
      <c r="FB70" s="102"/>
      <c r="FC70" s="102"/>
      <c r="FD70" s="102"/>
      <c r="FE70" s="102"/>
      <c r="FF70" s="102"/>
      <c r="FG70" s="102"/>
      <c r="FH70" s="102"/>
      <c r="FI70" s="102"/>
      <c r="FJ70" s="102"/>
      <c r="FK70" s="102"/>
      <c r="FL70" s="102"/>
      <c r="FM70" s="102"/>
      <c r="FN70" s="102"/>
      <c r="FO70" s="102"/>
      <c r="FP70" s="102"/>
      <c r="FQ70" s="102"/>
      <c r="FR70" s="102"/>
      <c r="FS70" s="102"/>
      <c r="FT70" s="102"/>
      <c r="FU70" s="102"/>
      <c r="FV70" s="102"/>
      <c r="FW70" s="102"/>
      <c r="FX70" s="102"/>
      <c r="FY70" s="102"/>
      <c r="FZ70" s="102"/>
      <c r="GA70" s="102"/>
      <c r="GB70" s="102"/>
      <c r="GC70" s="102"/>
      <c r="GD70" s="102"/>
      <c r="GE70" s="102"/>
      <c r="GF70" s="102"/>
      <c r="GG70" s="102"/>
      <c r="GH70" s="102"/>
      <c r="GI70" s="102"/>
      <c r="GJ70" s="102"/>
      <c r="GK70" s="102"/>
      <c r="GL70" s="102"/>
      <c r="GM70" s="102"/>
      <c r="GN70" s="102"/>
      <c r="GO70" s="102"/>
      <c r="GP70" s="102"/>
      <c r="GQ70" s="102"/>
      <c r="GR70" s="102"/>
      <c r="GS70" s="102"/>
      <c r="GT70" s="102"/>
      <c r="GU70" s="102"/>
      <c r="GV70" s="102"/>
      <c r="GW70" s="102"/>
      <c r="GX70" s="102"/>
      <c r="GY70" s="102"/>
      <c r="GZ70" s="102"/>
      <c r="HA70" s="102"/>
      <c r="HB70" s="102"/>
      <c r="HC70" s="102"/>
      <c r="HD70" s="102"/>
      <c r="HE70" s="102"/>
      <c r="HF70" s="102"/>
      <c r="HG70" s="102"/>
      <c r="HH70" s="102"/>
      <c r="HI70" s="102"/>
      <c r="HJ70" s="102"/>
      <c r="HK70" s="102"/>
      <c r="HL70" s="102"/>
      <c r="HM70" s="102"/>
      <c r="HN70" s="102"/>
      <c r="HO70" s="102"/>
      <c r="HP70" s="102"/>
      <c r="HQ70" s="102"/>
      <c r="HR70" s="102"/>
      <c r="HS70" s="102"/>
      <c r="HT70" s="102"/>
      <c r="HU70" s="102"/>
      <c r="HV70" s="102"/>
      <c r="HW70" s="102"/>
      <c r="HX70" s="102"/>
      <c r="HY70" s="102"/>
      <c r="HZ70" s="102"/>
      <c r="IA70" s="102"/>
      <c r="IB70" s="102"/>
      <c r="IC70" s="102"/>
      <c r="ID70" s="102"/>
      <c r="IE70" s="102"/>
      <c r="IF70" s="102"/>
      <c r="IG70" s="102"/>
      <c r="IH70" s="102"/>
      <c r="II70" s="102"/>
      <c r="IJ70" s="102"/>
      <c r="IT70" s="233"/>
    </row>
    <row r="71" spans="1:254" ht="147.75" customHeight="1">
      <c r="A71" s="150"/>
      <c r="B71" s="378" t="s">
        <v>322</v>
      </c>
      <c r="C71" s="377" t="s">
        <v>319</v>
      </c>
      <c r="D71" s="378" t="s">
        <v>128</v>
      </c>
      <c r="E71" s="360">
        <v>0</v>
      </c>
      <c r="F71" s="379"/>
      <c r="G71" s="381" t="s">
        <v>188</v>
      </c>
      <c r="H71" s="360">
        <v>0</v>
      </c>
      <c r="I71" s="381" t="s">
        <v>188</v>
      </c>
      <c r="J71" s="360">
        <v>0</v>
      </c>
      <c r="K71" s="350">
        <v>10.757</v>
      </c>
      <c r="L71" s="379">
        <v>10.757</v>
      </c>
      <c r="M71" s="176"/>
      <c r="N71" s="211"/>
      <c r="O71" s="102"/>
      <c r="P71" s="153"/>
      <c r="Q71" s="206"/>
      <c r="R71" s="207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  <c r="EX71" s="102"/>
      <c r="EY71" s="102"/>
      <c r="EZ71" s="102"/>
      <c r="FA71" s="102"/>
      <c r="FB71" s="102"/>
      <c r="FC71" s="102"/>
      <c r="FD71" s="102"/>
      <c r="FE71" s="102"/>
      <c r="FF71" s="102"/>
      <c r="FG71" s="102"/>
      <c r="FH71" s="102"/>
      <c r="FI71" s="102"/>
      <c r="FJ71" s="102"/>
      <c r="FK71" s="102"/>
      <c r="FL71" s="102"/>
      <c r="FM71" s="102"/>
      <c r="FN71" s="102"/>
      <c r="FO71" s="102"/>
      <c r="FP71" s="102"/>
      <c r="FQ71" s="102"/>
      <c r="FR71" s="102"/>
      <c r="FS71" s="102"/>
      <c r="FT71" s="102"/>
      <c r="FU71" s="102"/>
      <c r="FV71" s="102"/>
      <c r="FW71" s="102"/>
      <c r="FX71" s="102"/>
      <c r="FY71" s="102"/>
      <c r="FZ71" s="102"/>
      <c r="GA71" s="102"/>
      <c r="GB71" s="102"/>
      <c r="GC71" s="102"/>
      <c r="GD71" s="102"/>
      <c r="GE71" s="102"/>
      <c r="GF71" s="102"/>
      <c r="GG71" s="102"/>
      <c r="GH71" s="102"/>
      <c r="GI71" s="102"/>
      <c r="GJ71" s="102"/>
      <c r="GK71" s="102"/>
      <c r="GL71" s="102"/>
      <c r="GM71" s="102"/>
      <c r="GN71" s="102"/>
      <c r="GO71" s="102"/>
      <c r="GP71" s="102"/>
      <c r="GQ71" s="102"/>
      <c r="GR71" s="102"/>
      <c r="GS71" s="102"/>
      <c r="GT71" s="102"/>
      <c r="GU71" s="102"/>
      <c r="GV71" s="102"/>
      <c r="GW71" s="102"/>
      <c r="GX71" s="102"/>
      <c r="GY71" s="102"/>
      <c r="GZ71" s="102"/>
      <c r="HA71" s="102"/>
      <c r="HB71" s="102"/>
      <c r="HC71" s="102"/>
      <c r="HD71" s="102"/>
      <c r="HE71" s="102"/>
      <c r="HF71" s="102"/>
      <c r="HG71" s="102"/>
      <c r="HH71" s="102"/>
      <c r="HI71" s="102"/>
      <c r="HJ71" s="102"/>
      <c r="HK71" s="102"/>
      <c r="HL71" s="102"/>
      <c r="HM71" s="102"/>
      <c r="HN71" s="102"/>
      <c r="HO71" s="102"/>
      <c r="HP71" s="102"/>
      <c r="HQ71" s="102"/>
      <c r="HR71" s="102"/>
      <c r="HS71" s="102"/>
      <c r="HT71" s="102"/>
      <c r="HU71" s="102"/>
      <c r="HV71" s="102"/>
      <c r="HW71" s="102"/>
      <c r="HX71" s="102"/>
      <c r="HY71" s="102"/>
      <c r="HZ71" s="102"/>
      <c r="IA71" s="102"/>
      <c r="IB71" s="102"/>
      <c r="IC71" s="102"/>
      <c r="ID71" s="102"/>
      <c r="IE71" s="102"/>
      <c r="IF71" s="102"/>
      <c r="IG71" s="102"/>
      <c r="IH71" s="102"/>
      <c r="II71" s="102"/>
      <c r="IJ71" s="102"/>
      <c r="IT71" s="233"/>
    </row>
    <row r="72" spans="1:254">
      <c r="A72" s="150"/>
      <c r="B72" s="129" t="s">
        <v>238</v>
      </c>
      <c r="C72" s="138" t="s">
        <v>247</v>
      </c>
      <c r="D72" s="139" t="s">
        <v>211</v>
      </c>
      <c r="E72" s="191" t="s">
        <v>248</v>
      </c>
      <c r="F72" s="127"/>
      <c r="G72" s="192" t="s">
        <v>207</v>
      </c>
      <c r="H72" s="191" t="s">
        <v>248</v>
      </c>
      <c r="I72" s="192" t="s">
        <v>207</v>
      </c>
      <c r="J72" s="191" t="s">
        <v>248</v>
      </c>
      <c r="K72" s="192" t="s">
        <v>207</v>
      </c>
      <c r="L72" s="191" t="s">
        <v>248</v>
      </c>
      <c r="M72" s="176"/>
      <c r="N72" s="176"/>
      <c r="O72" s="102">
        <f>43*0.912/1000</f>
        <v>3.9216000000000001E-2</v>
      </c>
      <c r="P72" s="153"/>
      <c r="Q72" s="102"/>
      <c r="R72" s="148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  <c r="EX72" s="102"/>
      <c r="EY72" s="102"/>
      <c r="EZ72" s="102"/>
      <c r="FA72" s="102"/>
      <c r="FB72" s="102"/>
      <c r="FC72" s="102"/>
      <c r="FD72" s="102"/>
      <c r="FE72" s="102"/>
      <c r="FF72" s="102"/>
      <c r="FG72" s="102"/>
      <c r="FH72" s="102"/>
      <c r="FI72" s="102"/>
      <c r="FJ72" s="102"/>
      <c r="FK72" s="102"/>
      <c r="FL72" s="102"/>
      <c r="FM72" s="102"/>
      <c r="FN72" s="102"/>
      <c r="FO72" s="102"/>
      <c r="FP72" s="102"/>
      <c r="FQ72" s="102"/>
      <c r="FR72" s="102"/>
      <c r="FS72" s="102"/>
      <c r="FT72" s="102"/>
      <c r="FU72" s="102"/>
      <c r="FV72" s="102"/>
      <c r="FW72" s="102"/>
      <c r="FX72" s="102"/>
      <c r="FY72" s="102"/>
      <c r="FZ72" s="102"/>
      <c r="GA72" s="102"/>
      <c r="GB72" s="102"/>
      <c r="GC72" s="102"/>
      <c r="GD72" s="102"/>
      <c r="GE72" s="102"/>
      <c r="GF72" s="102"/>
      <c r="GG72" s="102"/>
      <c r="GH72" s="102"/>
      <c r="GI72" s="102"/>
      <c r="GJ72" s="102"/>
      <c r="GK72" s="102"/>
      <c r="GL72" s="102"/>
      <c r="GM72" s="102"/>
      <c r="GN72" s="102"/>
      <c r="GO72" s="102"/>
      <c r="GP72" s="102"/>
      <c r="GQ72" s="102"/>
      <c r="GR72" s="102"/>
      <c r="GS72" s="102"/>
      <c r="GT72" s="102"/>
      <c r="GU72" s="102"/>
      <c r="GV72" s="102"/>
      <c r="GW72" s="102"/>
      <c r="GX72" s="102"/>
      <c r="GY72" s="102"/>
      <c r="GZ72" s="102"/>
      <c r="HA72" s="102"/>
      <c r="HB72" s="102"/>
      <c r="HC72" s="102"/>
      <c r="HD72" s="102"/>
      <c r="HE72" s="102"/>
      <c r="HF72" s="102"/>
      <c r="HG72" s="102"/>
      <c r="HH72" s="102"/>
      <c r="HI72" s="102"/>
      <c r="HJ72" s="102"/>
      <c r="HK72" s="102"/>
      <c r="HL72" s="102"/>
      <c r="HM72" s="102"/>
      <c r="HN72" s="102"/>
      <c r="HO72" s="102"/>
      <c r="HP72" s="102"/>
      <c r="HQ72" s="102"/>
      <c r="HR72" s="102"/>
      <c r="HS72" s="102"/>
      <c r="HT72" s="102"/>
      <c r="HU72" s="102"/>
      <c r="HV72" s="102"/>
      <c r="HW72" s="102"/>
      <c r="HX72" s="102"/>
      <c r="HY72" s="102"/>
      <c r="HZ72" s="102"/>
      <c r="IA72" s="102"/>
      <c r="IB72" s="102"/>
      <c r="IC72" s="102"/>
      <c r="ID72" s="102"/>
      <c r="IE72" s="102"/>
      <c r="IF72" s="102"/>
      <c r="IG72" s="102"/>
      <c r="IH72" s="102"/>
      <c r="II72" s="102"/>
      <c r="IJ72" s="102"/>
      <c r="IT72" s="233"/>
    </row>
    <row r="73" spans="1:254">
      <c r="A73" s="150"/>
      <c r="B73" s="129" t="s">
        <v>239</v>
      </c>
      <c r="C73" s="138" t="s">
        <v>246</v>
      </c>
      <c r="D73" s="139" t="s">
        <v>211</v>
      </c>
      <c r="E73" s="191" t="s">
        <v>249</v>
      </c>
      <c r="F73" s="127"/>
      <c r="G73" s="192" t="s">
        <v>207</v>
      </c>
      <c r="H73" s="191" t="s">
        <v>249</v>
      </c>
      <c r="I73" s="192" t="s">
        <v>207</v>
      </c>
      <c r="J73" s="191" t="s">
        <v>249</v>
      </c>
      <c r="K73" s="192" t="s">
        <v>207</v>
      </c>
      <c r="L73" s="191" t="s">
        <v>249</v>
      </c>
      <c r="M73" s="176"/>
      <c r="N73" s="176"/>
      <c r="O73" s="102">
        <f>14*0.04/1000</f>
        <v>5.6000000000000006E-4</v>
      </c>
      <c r="P73" s="153"/>
      <c r="Q73" s="102"/>
      <c r="R73" s="148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  <c r="EX73" s="102"/>
      <c r="EY73" s="102"/>
      <c r="EZ73" s="102"/>
      <c r="FA73" s="102"/>
      <c r="FB73" s="102"/>
      <c r="FC73" s="102"/>
      <c r="FD73" s="102"/>
      <c r="FE73" s="102"/>
      <c r="FF73" s="102"/>
      <c r="FG73" s="102"/>
      <c r="FH73" s="102"/>
      <c r="FI73" s="102"/>
      <c r="FJ73" s="102"/>
      <c r="FK73" s="102"/>
      <c r="FL73" s="102"/>
      <c r="FM73" s="102"/>
      <c r="FN73" s="102"/>
      <c r="FO73" s="102"/>
      <c r="FP73" s="102"/>
      <c r="FQ73" s="102"/>
      <c r="FR73" s="102"/>
      <c r="FS73" s="102"/>
      <c r="FT73" s="102"/>
      <c r="FU73" s="102"/>
      <c r="FV73" s="102"/>
      <c r="FW73" s="102"/>
      <c r="FX73" s="102"/>
      <c r="FY73" s="102"/>
      <c r="FZ73" s="102"/>
      <c r="GA73" s="102"/>
      <c r="GB73" s="102"/>
      <c r="GC73" s="102"/>
      <c r="GD73" s="102"/>
      <c r="GE73" s="102"/>
      <c r="GF73" s="102"/>
      <c r="GG73" s="102"/>
      <c r="GH73" s="102"/>
      <c r="GI73" s="102"/>
      <c r="GJ73" s="102"/>
      <c r="GK73" s="102"/>
      <c r="GL73" s="102"/>
      <c r="GM73" s="102"/>
      <c r="GN73" s="102"/>
      <c r="GO73" s="102"/>
      <c r="GP73" s="102"/>
      <c r="GQ73" s="102"/>
      <c r="GR73" s="102"/>
      <c r="GS73" s="102"/>
      <c r="GT73" s="102"/>
      <c r="GU73" s="102"/>
      <c r="GV73" s="102"/>
      <c r="GW73" s="102"/>
      <c r="GX73" s="102"/>
      <c r="GY73" s="102"/>
      <c r="GZ73" s="102"/>
      <c r="HA73" s="102"/>
      <c r="HB73" s="102"/>
      <c r="HC73" s="102"/>
      <c r="HD73" s="102"/>
      <c r="HE73" s="102"/>
      <c r="HF73" s="102"/>
      <c r="HG73" s="102"/>
      <c r="HH73" s="102"/>
      <c r="HI73" s="102"/>
      <c r="HJ73" s="102"/>
      <c r="HK73" s="102"/>
      <c r="HL73" s="102"/>
      <c r="HM73" s="102"/>
      <c r="HN73" s="102"/>
      <c r="HO73" s="102"/>
      <c r="HP73" s="102"/>
      <c r="HQ73" s="102"/>
      <c r="HR73" s="102"/>
      <c r="HS73" s="102"/>
      <c r="HT73" s="102"/>
      <c r="HU73" s="102"/>
      <c r="HV73" s="102"/>
      <c r="HW73" s="102"/>
      <c r="HX73" s="102"/>
      <c r="HY73" s="102"/>
      <c r="HZ73" s="102"/>
      <c r="IA73" s="102"/>
      <c r="IB73" s="102"/>
      <c r="IC73" s="102"/>
      <c r="ID73" s="102"/>
      <c r="IE73" s="102"/>
      <c r="IF73" s="102"/>
      <c r="IG73" s="102"/>
      <c r="IH73" s="102"/>
      <c r="II73" s="102"/>
      <c r="IJ73" s="102"/>
      <c r="IT73" s="233"/>
    </row>
    <row r="74" spans="1:254">
      <c r="A74" s="150"/>
      <c r="B74" s="129" t="s">
        <v>240</v>
      </c>
      <c r="C74" s="138" t="s">
        <v>245</v>
      </c>
      <c r="D74" s="139" t="s">
        <v>211</v>
      </c>
      <c r="E74" s="191" t="s">
        <v>250</v>
      </c>
      <c r="F74" s="127"/>
      <c r="G74" s="192" t="s">
        <v>207</v>
      </c>
      <c r="H74" s="191" t="s">
        <v>250</v>
      </c>
      <c r="I74" s="192" t="s">
        <v>207</v>
      </c>
      <c r="J74" s="191" t="s">
        <v>250</v>
      </c>
      <c r="K74" s="192" t="s">
        <v>207</v>
      </c>
      <c r="L74" s="191" t="s">
        <v>250</v>
      </c>
      <c r="M74" s="176"/>
      <c r="N74" s="176"/>
      <c r="O74" s="102">
        <f>172*0.01022/1000</f>
        <v>1.7578400000000001E-3</v>
      </c>
      <c r="P74" s="153"/>
      <c r="Q74" s="102"/>
      <c r="R74" s="148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  <c r="EX74" s="102"/>
      <c r="EY74" s="102"/>
      <c r="EZ74" s="102"/>
      <c r="FA74" s="102"/>
      <c r="FB74" s="102"/>
      <c r="FC74" s="102"/>
      <c r="FD74" s="102"/>
      <c r="FE74" s="102"/>
      <c r="FF74" s="102"/>
      <c r="FG74" s="102"/>
      <c r="FH74" s="102"/>
      <c r="FI74" s="102"/>
      <c r="FJ74" s="102"/>
      <c r="FK74" s="102"/>
      <c r="FL74" s="102"/>
      <c r="FM74" s="102"/>
      <c r="FN74" s="102"/>
      <c r="FO74" s="102"/>
      <c r="FP74" s="102"/>
      <c r="FQ74" s="102"/>
      <c r="FR74" s="102"/>
      <c r="FS74" s="102"/>
      <c r="FT74" s="102"/>
      <c r="FU74" s="102"/>
      <c r="FV74" s="102"/>
      <c r="FW74" s="102"/>
      <c r="FX74" s="102"/>
      <c r="FY74" s="102"/>
      <c r="FZ74" s="102"/>
      <c r="GA74" s="102"/>
      <c r="GB74" s="102"/>
      <c r="GC74" s="102"/>
      <c r="GD74" s="102"/>
      <c r="GE74" s="102"/>
      <c r="GF74" s="102"/>
      <c r="GG74" s="102"/>
      <c r="GH74" s="102"/>
      <c r="GI74" s="102"/>
      <c r="GJ74" s="102"/>
      <c r="GK74" s="102"/>
      <c r="GL74" s="102"/>
      <c r="GM74" s="102"/>
      <c r="GN74" s="102"/>
      <c r="GO74" s="102"/>
      <c r="GP74" s="102"/>
      <c r="GQ74" s="102"/>
      <c r="GR74" s="102"/>
      <c r="GS74" s="102"/>
      <c r="GT74" s="102"/>
      <c r="GU74" s="102"/>
      <c r="GV74" s="102"/>
      <c r="GW74" s="102"/>
      <c r="GX74" s="102"/>
      <c r="GY74" s="102"/>
      <c r="GZ74" s="102"/>
      <c r="HA74" s="102"/>
      <c r="HB74" s="102"/>
      <c r="HC74" s="102"/>
      <c r="HD74" s="102"/>
      <c r="HE74" s="102"/>
      <c r="HF74" s="102"/>
      <c r="HG74" s="102"/>
      <c r="HH74" s="102"/>
      <c r="HI74" s="102"/>
      <c r="HJ74" s="102"/>
      <c r="HK74" s="102"/>
      <c r="HL74" s="102"/>
      <c r="HM74" s="102"/>
      <c r="HN74" s="102"/>
      <c r="HO74" s="102"/>
      <c r="HP74" s="102"/>
      <c r="HQ74" s="102"/>
      <c r="HR74" s="102"/>
      <c r="HS74" s="102"/>
      <c r="HT74" s="102"/>
      <c r="HU74" s="102"/>
      <c r="HV74" s="102"/>
      <c r="HW74" s="102"/>
      <c r="HX74" s="102"/>
      <c r="HY74" s="102"/>
      <c r="HZ74" s="102"/>
      <c r="IA74" s="102"/>
      <c r="IB74" s="102"/>
      <c r="IC74" s="102"/>
      <c r="ID74" s="102"/>
      <c r="IE74" s="102"/>
      <c r="IF74" s="102"/>
      <c r="IG74" s="102"/>
      <c r="IH74" s="102"/>
      <c r="II74" s="102"/>
      <c r="IJ74" s="102"/>
      <c r="IT74" s="233"/>
    </row>
    <row r="75" spans="1:254">
      <c r="A75" s="150"/>
      <c r="B75" s="154" t="s">
        <v>241</v>
      </c>
      <c r="C75" s="130" t="s">
        <v>244</v>
      </c>
      <c r="D75" s="155" t="s">
        <v>211</v>
      </c>
      <c r="E75" s="375" t="s">
        <v>251</v>
      </c>
      <c r="F75" s="128"/>
      <c r="G75" s="192" t="s">
        <v>207</v>
      </c>
      <c r="H75" s="375" t="s">
        <v>251</v>
      </c>
      <c r="I75" s="192" t="s">
        <v>207</v>
      </c>
      <c r="J75" s="375" t="s">
        <v>251</v>
      </c>
      <c r="K75" s="192" t="s">
        <v>207</v>
      </c>
      <c r="L75" s="375" t="s">
        <v>251</v>
      </c>
      <c r="M75" s="434"/>
      <c r="N75" s="434"/>
      <c r="O75" s="102">
        <f>172*0.003438/1000</f>
        <v>5.9133599999999992E-4</v>
      </c>
      <c r="P75" s="153"/>
      <c r="Q75" s="102"/>
      <c r="R75" s="148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  <c r="EX75" s="102"/>
      <c r="EY75" s="102"/>
      <c r="EZ75" s="102"/>
      <c r="FA75" s="102"/>
      <c r="FB75" s="102"/>
      <c r="FC75" s="102"/>
      <c r="FD75" s="102"/>
      <c r="FE75" s="102"/>
      <c r="FF75" s="102"/>
      <c r="FG75" s="102"/>
      <c r="FH75" s="102"/>
      <c r="FI75" s="102"/>
      <c r="FJ75" s="102"/>
      <c r="FK75" s="102"/>
      <c r="FL75" s="102"/>
      <c r="FM75" s="102"/>
      <c r="FN75" s="102"/>
      <c r="FO75" s="102"/>
      <c r="FP75" s="102"/>
      <c r="FQ75" s="102"/>
      <c r="FR75" s="102"/>
      <c r="FS75" s="102"/>
      <c r="FT75" s="102"/>
      <c r="FU75" s="102"/>
      <c r="FV75" s="102"/>
      <c r="FW75" s="102"/>
      <c r="FX75" s="102"/>
      <c r="FY75" s="102"/>
      <c r="FZ75" s="102"/>
      <c r="GA75" s="102"/>
      <c r="GB75" s="102"/>
      <c r="GC75" s="102"/>
      <c r="GD75" s="102"/>
      <c r="GE75" s="102"/>
      <c r="GF75" s="102"/>
      <c r="GG75" s="102"/>
      <c r="GH75" s="102"/>
      <c r="GI75" s="102"/>
      <c r="GJ75" s="102"/>
      <c r="GK75" s="102"/>
      <c r="GL75" s="102"/>
      <c r="GM75" s="102"/>
      <c r="GN75" s="102"/>
      <c r="GO75" s="102"/>
      <c r="GP75" s="102"/>
      <c r="GQ75" s="102"/>
      <c r="GR75" s="102"/>
      <c r="GS75" s="102"/>
      <c r="GT75" s="102"/>
      <c r="GU75" s="102"/>
      <c r="GV75" s="102"/>
      <c r="GW75" s="102"/>
      <c r="GX75" s="102"/>
      <c r="GY75" s="102"/>
      <c r="GZ75" s="102"/>
      <c r="HA75" s="102"/>
      <c r="HB75" s="102"/>
      <c r="HC75" s="102"/>
      <c r="HD75" s="102"/>
      <c r="HE75" s="102"/>
      <c r="HF75" s="102"/>
      <c r="HG75" s="102"/>
      <c r="HH75" s="102"/>
      <c r="HI75" s="102"/>
      <c r="HJ75" s="102"/>
      <c r="HK75" s="102"/>
      <c r="HL75" s="102"/>
      <c r="HM75" s="102"/>
      <c r="HN75" s="102"/>
      <c r="HO75" s="102"/>
      <c r="HP75" s="102"/>
      <c r="HQ75" s="102"/>
      <c r="HR75" s="102"/>
      <c r="HS75" s="102"/>
      <c r="HT75" s="102"/>
      <c r="HU75" s="102"/>
      <c r="HV75" s="102"/>
      <c r="HW75" s="102"/>
      <c r="HX75" s="102"/>
      <c r="HY75" s="102"/>
      <c r="HZ75" s="102"/>
      <c r="IA75" s="102"/>
      <c r="IB75" s="102"/>
      <c r="IC75" s="102"/>
      <c r="ID75" s="102"/>
      <c r="IE75" s="102"/>
      <c r="IF75" s="102"/>
      <c r="IG75" s="102"/>
      <c r="IH75" s="102"/>
      <c r="II75" s="102"/>
      <c r="IJ75" s="102"/>
      <c r="IT75" s="233"/>
    </row>
    <row r="76" spans="1:254">
      <c r="A76" s="150"/>
      <c r="B76" s="132" t="s">
        <v>242</v>
      </c>
      <c r="C76" s="101" t="s">
        <v>243</v>
      </c>
      <c r="D76" s="133" t="s">
        <v>211</v>
      </c>
      <c r="E76" s="189" t="s">
        <v>252</v>
      </c>
      <c r="F76" s="134"/>
      <c r="G76" s="201" t="s">
        <v>207</v>
      </c>
      <c r="H76" s="189" t="s">
        <v>252</v>
      </c>
      <c r="I76" s="201" t="s">
        <v>207</v>
      </c>
      <c r="J76" s="189" t="s">
        <v>252</v>
      </c>
      <c r="K76" s="201" t="s">
        <v>207</v>
      </c>
      <c r="L76" s="189" t="s">
        <v>252</v>
      </c>
      <c r="M76" s="202"/>
      <c r="N76" s="202"/>
      <c r="O76" s="102">
        <f>43*0.04053/1000</f>
        <v>1.7427899999999999E-3</v>
      </c>
      <c r="P76" s="153"/>
      <c r="Q76" s="102"/>
      <c r="R76" s="148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  <c r="EX76" s="102"/>
      <c r="EY76" s="102"/>
      <c r="EZ76" s="102"/>
      <c r="FA76" s="102"/>
      <c r="FB76" s="102"/>
      <c r="FC76" s="102"/>
      <c r="FD76" s="102"/>
      <c r="FE76" s="102"/>
      <c r="FF76" s="102"/>
      <c r="FG76" s="102"/>
      <c r="FH76" s="102"/>
      <c r="FI76" s="102"/>
      <c r="FJ76" s="102"/>
      <c r="FK76" s="102"/>
      <c r="FL76" s="102"/>
      <c r="FM76" s="102"/>
      <c r="FN76" s="102"/>
      <c r="FO76" s="102"/>
      <c r="FP76" s="102"/>
      <c r="FQ76" s="102"/>
      <c r="FR76" s="102"/>
      <c r="FS76" s="102"/>
      <c r="FT76" s="102"/>
      <c r="FU76" s="102"/>
      <c r="FV76" s="102"/>
      <c r="FW76" s="102"/>
      <c r="FX76" s="102"/>
      <c r="FY76" s="102"/>
      <c r="FZ76" s="102"/>
      <c r="GA76" s="102"/>
      <c r="GB76" s="102"/>
      <c r="GC76" s="102"/>
      <c r="GD76" s="102"/>
      <c r="GE76" s="102"/>
      <c r="GF76" s="102"/>
      <c r="GG76" s="102"/>
      <c r="GH76" s="102"/>
      <c r="GI76" s="102"/>
      <c r="GJ76" s="102"/>
      <c r="GK76" s="102"/>
      <c r="GL76" s="102"/>
      <c r="GM76" s="102"/>
      <c r="GN76" s="102"/>
      <c r="GO76" s="102"/>
      <c r="GP76" s="102"/>
      <c r="GQ76" s="102"/>
      <c r="GR76" s="102"/>
      <c r="GS76" s="102"/>
      <c r="GT76" s="102"/>
      <c r="GU76" s="102"/>
      <c r="GV76" s="102"/>
      <c r="GW76" s="102"/>
      <c r="GX76" s="102"/>
      <c r="GY76" s="102"/>
      <c r="GZ76" s="102"/>
      <c r="HA76" s="102"/>
      <c r="HB76" s="102"/>
      <c r="HC76" s="102"/>
      <c r="HD76" s="102"/>
      <c r="HE76" s="102"/>
      <c r="HF76" s="102"/>
      <c r="HG76" s="102"/>
      <c r="HH76" s="102"/>
      <c r="HI76" s="102"/>
      <c r="HJ76" s="102"/>
      <c r="HK76" s="102"/>
      <c r="HL76" s="102"/>
      <c r="HM76" s="102"/>
      <c r="HN76" s="102"/>
      <c r="HO76" s="102"/>
      <c r="HP76" s="102"/>
      <c r="HQ76" s="102"/>
      <c r="HR76" s="102"/>
      <c r="HS76" s="102"/>
      <c r="HT76" s="102"/>
      <c r="HU76" s="102"/>
      <c r="HV76" s="102"/>
      <c r="HW76" s="102"/>
      <c r="HX76" s="102"/>
      <c r="HY76" s="102"/>
      <c r="HZ76" s="102"/>
      <c r="IA76" s="102"/>
      <c r="IB76" s="102"/>
      <c r="IC76" s="102"/>
      <c r="ID76" s="102"/>
      <c r="IE76" s="102"/>
      <c r="IF76" s="102"/>
      <c r="IG76" s="102"/>
      <c r="IH76" s="102"/>
      <c r="II76" s="102"/>
      <c r="IJ76" s="102"/>
      <c r="IT76" s="233"/>
    </row>
    <row r="77" spans="1:254" ht="108.75" customHeight="1" thickBot="1">
      <c r="A77" s="265" t="s">
        <v>289</v>
      </c>
      <c r="B77" s="268"/>
      <c r="C77" s="269"/>
      <c r="D77" s="270"/>
      <c r="E77" s="276"/>
      <c r="F77" s="271"/>
      <c r="G77" s="331"/>
      <c r="H77" s="276"/>
      <c r="I77" s="331"/>
      <c r="J77" s="276"/>
      <c r="K77" s="331"/>
      <c r="L77" s="276"/>
      <c r="M77" s="277"/>
      <c r="N77" s="332"/>
      <c r="O77" s="102"/>
      <c r="P77" s="153"/>
      <c r="Q77" s="102"/>
      <c r="R77" s="148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  <c r="EX77" s="102"/>
      <c r="EY77" s="102"/>
      <c r="EZ77" s="102"/>
      <c r="FA77" s="102"/>
      <c r="FB77" s="102"/>
      <c r="FC77" s="102"/>
      <c r="FD77" s="102"/>
      <c r="FE77" s="102"/>
      <c r="FF77" s="102"/>
      <c r="FG77" s="102"/>
      <c r="FH77" s="102"/>
      <c r="FI77" s="102"/>
      <c r="FJ77" s="102"/>
      <c r="FK77" s="102"/>
      <c r="FL77" s="102"/>
      <c r="FM77" s="102"/>
      <c r="FN77" s="102"/>
      <c r="FO77" s="102"/>
      <c r="FP77" s="102"/>
      <c r="FQ77" s="102"/>
      <c r="FR77" s="102"/>
      <c r="FS77" s="102"/>
      <c r="FT77" s="102"/>
      <c r="FU77" s="102"/>
      <c r="FV77" s="102"/>
      <c r="FW77" s="102"/>
      <c r="FX77" s="102"/>
      <c r="FY77" s="102"/>
      <c r="FZ77" s="102"/>
      <c r="GA77" s="102"/>
      <c r="GB77" s="102"/>
      <c r="GC77" s="102"/>
      <c r="GD77" s="102"/>
      <c r="GE77" s="102"/>
      <c r="GF77" s="102"/>
      <c r="GG77" s="102"/>
      <c r="GH77" s="102"/>
      <c r="GI77" s="102"/>
      <c r="GJ77" s="102"/>
      <c r="GK77" s="102"/>
      <c r="GL77" s="102"/>
      <c r="GM77" s="102"/>
      <c r="GN77" s="102"/>
      <c r="GO77" s="102"/>
      <c r="GP77" s="102"/>
      <c r="GQ77" s="102"/>
      <c r="GR77" s="102"/>
      <c r="GS77" s="102"/>
      <c r="GT77" s="102"/>
      <c r="GU77" s="102"/>
      <c r="GV77" s="102"/>
      <c r="GW77" s="102"/>
      <c r="GX77" s="102"/>
      <c r="GY77" s="102"/>
      <c r="GZ77" s="102"/>
      <c r="HA77" s="102"/>
      <c r="HB77" s="102"/>
      <c r="HC77" s="102"/>
      <c r="HD77" s="102"/>
      <c r="HE77" s="102"/>
      <c r="HF77" s="102"/>
      <c r="HG77" s="102"/>
      <c r="HH77" s="102"/>
      <c r="HI77" s="102"/>
      <c r="HJ77" s="102"/>
      <c r="HK77" s="102"/>
      <c r="HL77" s="102"/>
      <c r="HM77" s="102"/>
      <c r="HN77" s="102"/>
      <c r="HO77" s="102"/>
      <c r="HP77" s="102"/>
      <c r="HQ77" s="102"/>
      <c r="HR77" s="102"/>
      <c r="HS77" s="102"/>
      <c r="HT77" s="102"/>
      <c r="HU77" s="102"/>
      <c r="HV77" s="102"/>
      <c r="HW77" s="102"/>
      <c r="HX77" s="102"/>
      <c r="HY77" s="102"/>
      <c r="HZ77" s="102"/>
      <c r="IA77" s="102"/>
      <c r="IB77" s="102"/>
      <c r="IC77" s="102"/>
      <c r="ID77" s="102"/>
      <c r="IE77" s="102"/>
      <c r="IF77" s="102"/>
      <c r="IG77" s="102"/>
      <c r="IH77" s="102"/>
      <c r="II77" s="102"/>
      <c r="IJ77" s="102"/>
      <c r="IT77" s="233"/>
    </row>
    <row r="78" spans="1:254" ht="30" customHeight="1" thickBot="1">
      <c r="A78" s="265" t="s">
        <v>289</v>
      </c>
      <c r="B78" s="275"/>
      <c r="C78" s="278"/>
      <c r="D78" s="279"/>
      <c r="E78" s="281"/>
      <c r="F78" s="280"/>
      <c r="G78" s="333"/>
      <c r="H78" s="281"/>
      <c r="I78" s="333"/>
      <c r="J78" s="281"/>
      <c r="K78" s="333"/>
      <c r="L78" s="281"/>
      <c r="M78" s="283"/>
      <c r="N78" s="283"/>
      <c r="O78" s="102"/>
      <c r="P78" s="153"/>
      <c r="Q78" s="102"/>
      <c r="R78" s="148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2"/>
      <c r="FL78" s="102"/>
      <c r="FM78" s="102"/>
      <c r="FN78" s="102"/>
      <c r="FO78" s="102"/>
      <c r="FP78" s="102"/>
      <c r="FQ78" s="102"/>
      <c r="FR78" s="102"/>
      <c r="FS78" s="102"/>
      <c r="FT78" s="102"/>
      <c r="FU78" s="102"/>
      <c r="FV78" s="102"/>
      <c r="FW78" s="102"/>
      <c r="FX78" s="102"/>
      <c r="FY78" s="102"/>
      <c r="FZ78" s="102"/>
      <c r="GA78" s="102"/>
      <c r="GB78" s="102"/>
      <c r="GC78" s="102"/>
      <c r="GD78" s="102"/>
      <c r="GE78" s="102"/>
      <c r="GF78" s="102"/>
      <c r="GG78" s="102"/>
      <c r="GH78" s="102"/>
      <c r="GI78" s="102"/>
      <c r="GJ78" s="102"/>
      <c r="GK78" s="102"/>
      <c r="GL78" s="102"/>
      <c r="GM78" s="102"/>
      <c r="GN78" s="102"/>
      <c r="GO78" s="102"/>
      <c r="GP78" s="102"/>
      <c r="GQ78" s="102"/>
      <c r="GR78" s="102"/>
      <c r="GS78" s="102"/>
      <c r="GT78" s="102"/>
      <c r="GU78" s="102"/>
      <c r="GV78" s="102"/>
      <c r="GW78" s="102"/>
      <c r="GX78" s="102"/>
      <c r="GY78" s="102"/>
      <c r="GZ78" s="102"/>
      <c r="HA78" s="102"/>
      <c r="HB78" s="102"/>
      <c r="HC78" s="102"/>
      <c r="HD78" s="102"/>
      <c r="HE78" s="102"/>
      <c r="HF78" s="102"/>
      <c r="HG78" s="102"/>
      <c r="HH78" s="102"/>
      <c r="HI78" s="102"/>
      <c r="HJ78" s="102"/>
      <c r="HK78" s="102"/>
      <c r="HL78" s="102"/>
      <c r="HM78" s="102"/>
      <c r="HN78" s="102"/>
      <c r="HO78" s="102"/>
      <c r="HP78" s="102"/>
      <c r="HQ78" s="102"/>
      <c r="HR78" s="102"/>
      <c r="HS78" s="102"/>
      <c r="HT78" s="102"/>
      <c r="HU78" s="102"/>
      <c r="HV78" s="102"/>
      <c r="HW78" s="102"/>
      <c r="HX78" s="102"/>
      <c r="HY78" s="102"/>
      <c r="HZ78" s="102"/>
      <c r="IA78" s="102"/>
      <c r="IB78" s="102"/>
      <c r="IC78" s="102"/>
      <c r="ID78" s="102"/>
      <c r="IE78" s="102"/>
      <c r="IF78" s="102"/>
      <c r="IG78" s="102"/>
      <c r="IH78" s="102"/>
      <c r="II78" s="102"/>
      <c r="IJ78" s="102"/>
      <c r="IT78" s="233"/>
    </row>
    <row r="79" spans="1:254" ht="36" customHeight="1" thickBot="1">
      <c r="A79" s="274" t="s">
        <v>289</v>
      </c>
      <c r="B79" s="487" t="s">
        <v>35</v>
      </c>
      <c r="C79" s="487" t="s">
        <v>36</v>
      </c>
      <c r="D79" s="487" t="s">
        <v>37</v>
      </c>
      <c r="E79" s="487" t="s">
        <v>91</v>
      </c>
      <c r="F79" s="487" t="s">
        <v>18</v>
      </c>
      <c r="G79" s="479" t="s">
        <v>99</v>
      </c>
      <c r="H79" s="481"/>
      <c r="I79" s="481"/>
      <c r="J79" s="481"/>
      <c r="K79" s="481"/>
      <c r="L79" s="481"/>
      <c r="M79" s="481"/>
      <c r="N79" s="482"/>
      <c r="O79" s="229"/>
      <c r="P79" s="229"/>
      <c r="Q79" s="229"/>
      <c r="R79" s="230"/>
    </row>
    <row r="80" spans="1:254" ht="15.75" customHeight="1" thickBot="1">
      <c r="A80" s="274" t="s">
        <v>289</v>
      </c>
      <c r="B80" s="488"/>
      <c r="C80" s="488"/>
      <c r="D80" s="488"/>
      <c r="E80" s="488"/>
      <c r="F80" s="488"/>
      <c r="G80" s="479" t="s">
        <v>260</v>
      </c>
      <c r="H80" s="480"/>
      <c r="I80" s="479" t="s">
        <v>303</v>
      </c>
      <c r="J80" s="480"/>
      <c r="K80" s="479" t="s">
        <v>340</v>
      </c>
      <c r="L80" s="480"/>
      <c r="M80" s="479" t="s">
        <v>259</v>
      </c>
      <c r="N80" s="480"/>
      <c r="R80" s="232"/>
    </row>
    <row r="81" spans="1:254" ht="16.5" thickBot="1">
      <c r="A81" s="274" t="s">
        <v>289</v>
      </c>
      <c r="B81" s="489"/>
      <c r="C81" s="489"/>
      <c r="D81" s="489"/>
      <c r="E81" s="489"/>
      <c r="F81" s="489"/>
      <c r="G81" s="162" t="s">
        <v>187</v>
      </c>
      <c r="H81" s="147" t="s">
        <v>38</v>
      </c>
      <c r="I81" s="162" t="s">
        <v>187</v>
      </c>
      <c r="J81" s="147" t="s">
        <v>38</v>
      </c>
      <c r="K81" s="162" t="s">
        <v>187</v>
      </c>
      <c r="L81" s="147" t="s">
        <v>38</v>
      </c>
      <c r="M81" s="162" t="s">
        <v>187</v>
      </c>
      <c r="N81" s="147" t="s">
        <v>38</v>
      </c>
      <c r="R81" s="232"/>
    </row>
    <row r="82" spans="1:254">
      <c r="A82" s="274" t="s">
        <v>289</v>
      </c>
      <c r="B82" s="163" t="s">
        <v>114</v>
      </c>
      <c r="C82" s="117" t="s">
        <v>115</v>
      </c>
      <c r="D82" s="117" t="s">
        <v>116</v>
      </c>
      <c r="E82" s="117" t="s">
        <v>117</v>
      </c>
      <c r="F82" s="116" t="s">
        <v>118</v>
      </c>
      <c r="G82" s="163" t="s">
        <v>119</v>
      </c>
      <c r="H82" s="113" t="s">
        <v>120</v>
      </c>
      <c r="I82" s="114">
        <v>8</v>
      </c>
      <c r="J82" s="115">
        <v>9</v>
      </c>
      <c r="K82" s="106">
        <v>10</v>
      </c>
      <c r="L82" s="115">
        <v>11</v>
      </c>
      <c r="M82" s="106">
        <v>12</v>
      </c>
      <c r="N82" s="115">
        <v>13</v>
      </c>
      <c r="O82" s="102"/>
      <c r="P82" s="102"/>
      <c r="Q82" s="102"/>
      <c r="R82" s="148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  <c r="EX82" s="102"/>
      <c r="EY82" s="102"/>
      <c r="EZ82" s="102"/>
      <c r="FA82" s="102"/>
      <c r="FB82" s="102"/>
      <c r="FC82" s="102"/>
      <c r="FD82" s="102"/>
      <c r="FE82" s="102"/>
      <c r="FF82" s="102"/>
      <c r="FG82" s="102"/>
      <c r="FH82" s="102"/>
      <c r="FI82" s="102"/>
      <c r="FJ82" s="102"/>
      <c r="FK82" s="102"/>
      <c r="FL82" s="102"/>
      <c r="FM82" s="102"/>
      <c r="FN82" s="102"/>
      <c r="FO82" s="102"/>
      <c r="FP82" s="102"/>
      <c r="FQ82" s="102"/>
      <c r="FR82" s="102"/>
      <c r="FS82" s="102"/>
      <c r="FT82" s="102"/>
      <c r="FU82" s="102"/>
      <c r="FV82" s="102"/>
      <c r="FW82" s="102"/>
      <c r="FX82" s="102"/>
      <c r="FY82" s="102"/>
      <c r="FZ82" s="102"/>
      <c r="GA82" s="102"/>
      <c r="GB82" s="102"/>
      <c r="GC82" s="102"/>
      <c r="GD82" s="102"/>
      <c r="GE82" s="102"/>
      <c r="GF82" s="102"/>
      <c r="GG82" s="102"/>
      <c r="GH82" s="102"/>
      <c r="GI82" s="102"/>
      <c r="GJ82" s="102"/>
      <c r="GK82" s="102"/>
      <c r="GL82" s="102"/>
      <c r="GM82" s="102"/>
      <c r="GN82" s="102"/>
      <c r="GO82" s="102"/>
      <c r="GP82" s="102"/>
      <c r="GQ82" s="102"/>
      <c r="GR82" s="102"/>
      <c r="GS82" s="102"/>
      <c r="GT82" s="102"/>
      <c r="GU82" s="102"/>
      <c r="GV82" s="102"/>
      <c r="GW82" s="102"/>
      <c r="GX82" s="102"/>
      <c r="GY82" s="102"/>
      <c r="GZ82" s="102"/>
      <c r="HA82" s="102"/>
      <c r="HB82" s="102"/>
      <c r="HC82" s="102"/>
      <c r="HD82" s="102"/>
      <c r="HE82" s="102"/>
      <c r="HF82" s="102"/>
      <c r="HG82" s="102"/>
      <c r="HH82" s="102"/>
      <c r="HI82" s="102"/>
      <c r="HJ82" s="102"/>
      <c r="HK82" s="102"/>
      <c r="HL82" s="102"/>
      <c r="HM82" s="102"/>
      <c r="HN82" s="102"/>
      <c r="HO82" s="102"/>
      <c r="HP82" s="102"/>
      <c r="HQ82" s="102"/>
      <c r="HR82" s="102"/>
      <c r="HS82" s="102"/>
      <c r="HT82" s="102"/>
      <c r="HU82" s="102"/>
      <c r="HV82" s="102"/>
      <c r="HW82" s="102"/>
      <c r="HX82" s="102"/>
      <c r="HY82" s="102"/>
      <c r="HZ82" s="102"/>
      <c r="IA82" s="102"/>
      <c r="IB82" s="102"/>
      <c r="IC82" s="102"/>
      <c r="ID82" s="102"/>
      <c r="IE82" s="102"/>
      <c r="IF82" s="102"/>
      <c r="IG82" s="102"/>
      <c r="IH82" s="102"/>
      <c r="II82" s="102"/>
      <c r="IJ82" s="102"/>
    </row>
    <row r="83" spans="1:254" ht="31.5">
      <c r="A83" s="150"/>
      <c r="B83" s="129" t="s">
        <v>165</v>
      </c>
      <c r="C83" s="138" t="s">
        <v>170</v>
      </c>
      <c r="D83" s="139" t="s">
        <v>128</v>
      </c>
      <c r="E83" s="359">
        <v>0</v>
      </c>
      <c r="F83" s="124"/>
      <c r="G83" s="191" t="s">
        <v>188</v>
      </c>
      <c r="H83" s="359">
        <v>0</v>
      </c>
      <c r="I83" s="191" t="s">
        <v>188</v>
      </c>
      <c r="J83" s="359">
        <v>0</v>
      </c>
      <c r="K83" s="191" t="s">
        <v>188</v>
      </c>
      <c r="L83" s="359">
        <v>0</v>
      </c>
      <c r="M83" s="191"/>
      <c r="N83" s="127"/>
      <c r="O83" s="102"/>
      <c r="P83" s="102"/>
      <c r="Q83" s="102"/>
      <c r="R83" s="148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  <c r="EX83" s="102"/>
      <c r="EY83" s="102"/>
      <c r="EZ83" s="102"/>
      <c r="FA83" s="102"/>
      <c r="FB83" s="102"/>
      <c r="FC83" s="102"/>
      <c r="FD83" s="102"/>
      <c r="FE83" s="102"/>
      <c r="FF83" s="102"/>
      <c r="FG83" s="102"/>
      <c r="FH83" s="102"/>
      <c r="FI83" s="102"/>
      <c r="FJ83" s="102"/>
      <c r="FK83" s="102"/>
      <c r="FL83" s="102"/>
      <c r="FM83" s="102"/>
      <c r="FN83" s="102"/>
      <c r="FO83" s="102"/>
      <c r="FP83" s="102"/>
      <c r="FQ83" s="102"/>
      <c r="FR83" s="102"/>
      <c r="FS83" s="102"/>
      <c r="FT83" s="102"/>
      <c r="FU83" s="102"/>
      <c r="FV83" s="102"/>
      <c r="FW83" s="102"/>
      <c r="FX83" s="102"/>
      <c r="FY83" s="102"/>
      <c r="FZ83" s="102"/>
      <c r="GA83" s="102"/>
      <c r="GB83" s="102"/>
      <c r="GC83" s="102"/>
      <c r="GD83" s="102"/>
      <c r="GE83" s="102"/>
      <c r="GF83" s="102"/>
      <c r="GG83" s="102"/>
      <c r="GH83" s="102"/>
      <c r="GI83" s="102"/>
      <c r="GJ83" s="102"/>
      <c r="GK83" s="102"/>
      <c r="GL83" s="102"/>
      <c r="GM83" s="102"/>
      <c r="GN83" s="102"/>
      <c r="GO83" s="102"/>
      <c r="GP83" s="102"/>
      <c r="GQ83" s="102"/>
      <c r="GR83" s="102"/>
      <c r="GS83" s="102"/>
      <c r="GT83" s="102"/>
      <c r="GU83" s="102"/>
      <c r="GV83" s="102"/>
      <c r="GW83" s="102"/>
      <c r="GX83" s="102"/>
      <c r="GY83" s="102"/>
      <c r="GZ83" s="102"/>
      <c r="HA83" s="102"/>
      <c r="HB83" s="102"/>
      <c r="HC83" s="102"/>
      <c r="HD83" s="102"/>
      <c r="HE83" s="102"/>
      <c r="HF83" s="102"/>
      <c r="HG83" s="102"/>
      <c r="HH83" s="102"/>
      <c r="HI83" s="102"/>
      <c r="HJ83" s="102"/>
      <c r="HK83" s="102"/>
      <c r="HL83" s="102"/>
      <c r="HM83" s="102"/>
      <c r="HN83" s="102"/>
      <c r="HO83" s="102"/>
      <c r="HP83" s="102"/>
      <c r="HQ83" s="102"/>
      <c r="HR83" s="102"/>
      <c r="HS83" s="102"/>
      <c r="HT83" s="102"/>
      <c r="HU83" s="102"/>
      <c r="HV83" s="102"/>
      <c r="HW83" s="102"/>
      <c r="HX83" s="102"/>
      <c r="HY83" s="102"/>
      <c r="HZ83" s="102"/>
      <c r="IA83" s="102"/>
      <c r="IB83" s="102"/>
      <c r="IC83" s="102"/>
      <c r="ID83" s="102"/>
      <c r="IE83" s="102"/>
      <c r="IF83" s="102"/>
      <c r="IG83" s="102"/>
      <c r="IH83" s="102"/>
      <c r="II83" s="102"/>
      <c r="IJ83" s="102"/>
      <c r="IT83" s="233"/>
    </row>
    <row r="84" spans="1:254" ht="95.25" customHeight="1" thickBot="1">
      <c r="A84" s="150"/>
      <c r="B84" s="155" t="s">
        <v>290</v>
      </c>
      <c r="C84" s="197" t="s">
        <v>183</v>
      </c>
      <c r="D84" s="155" t="s">
        <v>131</v>
      </c>
      <c r="E84" s="175">
        <v>410.673</v>
      </c>
      <c r="F84" s="175"/>
      <c r="G84" s="175" t="s">
        <v>188</v>
      </c>
      <c r="H84" s="175">
        <v>410.673</v>
      </c>
      <c r="I84" s="175" t="s">
        <v>188</v>
      </c>
      <c r="J84" s="175">
        <v>410.673</v>
      </c>
      <c r="K84" s="383">
        <v>14.491</v>
      </c>
      <c r="L84" s="374">
        <v>425.16399999999999</v>
      </c>
      <c r="M84" s="179"/>
      <c r="N84" s="179"/>
      <c r="O84" s="102">
        <f>0.66392*44+0.81323*44+0.149351*63.9+0.017264*44+0.31808*40.5+0.23296*43.1+0.056269*32.1+0.094954*42.7+4.438035*26.5+0.417246*22+0.257785*26.5+0.920465*44+0.07919*86.5+0.800175*45.4+0.0164*43.5+0.004662*43.5+0.00139*52.1</f>
        <v>322.36692959999993</v>
      </c>
      <c r="P84" s="205">
        <f>7922/1000*26.5+384.77/1000*22+243.18/1000*26.5+25.66/1000*44+82/1000*86.5+800.175/1000*45.4+16.4/1000*43.5+4.662/1000*43.5+1.39/1000*52.1+440/1000*40.5+65/1000*52+130/1000*52+242/1000*32.1+166/1000*63.9+2.9/1000*127.6+1.0335*52+0.5152*44+0.1602*32.1+0.02262*52+0.11934*52+0.07072*32.1+0.00264*42.7+0.0095*32.9+0.04582*42.7</f>
        <v>410.67349499999995</v>
      </c>
      <c r="Q84" s="205">
        <f>P84-L84</f>
        <v>-14.490505000000041</v>
      </c>
      <c r="R84" s="148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  <c r="CE84" s="102"/>
      <c r="CF84" s="102"/>
      <c r="CG84" s="102"/>
      <c r="CH84" s="102"/>
      <c r="CI84" s="102"/>
      <c r="CJ84" s="102"/>
      <c r="CK84" s="102"/>
      <c r="CL84" s="102"/>
      <c r="CM84" s="102"/>
      <c r="CN84" s="102"/>
      <c r="CO84" s="102"/>
      <c r="CP84" s="102"/>
      <c r="CQ84" s="102"/>
      <c r="CR84" s="102"/>
      <c r="CS84" s="102"/>
      <c r="CT84" s="102"/>
      <c r="CU84" s="102"/>
      <c r="CV84" s="102"/>
      <c r="CW84" s="102"/>
      <c r="CX84" s="102"/>
      <c r="CY84" s="102"/>
      <c r="CZ84" s="102"/>
      <c r="DA84" s="102"/>
      <c r="DB84" s="102"/>
      <c r="DC84" s="102"/>
      <c r="DD84" s="102"/>
      <c r="DE84" s="102"/>
      <c r="DF84" s="102"/>
      <c r="DG84" s="102"/>
      <c r="DH84" s="102"/>
      <c r="DI84" s="102"/>
      <c r="DJ84" s="102"/>
      <c r="DK84" s="102"/>
      <c r="DL84" s="102"/>
      <c r="DM84" s="102"/>
      <c r="DN84" s="102"/>
      <c r="DO84" s="102"/>
      <c r="DP84" s="102"/>
      <c r="DQ84" s="102"/>
      <c r="DR84" s="102"/>
      <c r="DS84" s="102"/>
      <c r="DT84" s="102"/>
      <c r="DU84" s="102"/>
      <c r="DV84" s="102"/>
      <c r="DW84" s="102"/>
      <c r="DX84" s="102"/>
      <c r="DY84" s="102"/>
      <c r="DZ84" s="102"/>
      <c r="EA84" s="102"/>
      <c r="EB84" s="102"/>
      <c r="EC84" s="102"/>
      <c r="ED84" s="102"/>
      <c r="EE84" s="102"/>
      <c r="EF84" s="102"/>
      <c r="EG84" s="102"/>
      <c r="EH84" s="102"/>
      <c r="EI84" s="102"/>
      <c r="EJ84" s="102"/>
      <c r="EK84" s="102"/>
      <c r="EL84" s="102"/>
      <c r="EM84" s="102"/>
      <c r="EN84" s="102"/>
      <c r="EO84" s="102"/>
      <c r="EP84" s="102"/>
      <c r="EQ84" s="102"/>
      <c r="ER84" s="102"/>
      <c r="ES84" s="102"/>
      <c r="ET84" s="102"/>
      <c r="EU84" s="102"/>
      <c r="EV84" s="102"/>
      <c r="EW84" s="102"/>
      <c r="EX84" s="102"/>
      <c r="EY84" s="102"/>
      <c r="EZ84" s="102"/>
      <c r="FA84" s="102"/>
      <c r="FB84" s="102"/>
      <c r="FC84" s="102"/>
      <c r="FD84" s="102"/>
      <c r="FE84" s="102"/>
      <c r="FF84" s="102"/>
      <c r="FG84" s="102"/>
      <c r="FH84" s="102"/>
      <c r="FI84" s="102"/>
      <c r="FJ84" s="102"/>
      <c r="FK84" s="102"/>
      <c r="FL84" s="102"/>
      <c r="FM84" s="102"/>
      <c r="FN84" s="102"/>
      <c r="FO84" s="102"/>
      <c r="FP84" s="102"/>
      <c r="FQ84" s="102"/>
      <c r="FR84" s="102"/>
      <c r="FS84" s="102"/>
      <c r="FT84" s="102"/>
      <c r="FU84" s="102"/>
      <c r="FV84" s="102"/>
      <c r="FW84" s="102"/>
      <c r="FX84" s="102"/>
      <c r="FY84" s="102"/>
      <c r="FZ84" s="102"/>
      <c r="GA84" s="102"/>
      <c r="GB84" s="102"/>
      <c r="GC84" s="102"/>
      <c r="GD84" s="102"/>
      <c r="GE84" s="102"/>
      <c r="GF84" s="102"/>
      <c r="GG84" s="102"/>
      <c r="GH84" s="102"/>
      <c r="GI84" s="102"/>
      <c r="GJ84" s="102"/>
      <c r="GK84" s="102"/>
      <c r="GL84" s="102"/>
      <c r="GM84" s="102"/>
      <c r="GN84" s="102"/>
      <c r="GO84" s="102"/>
      <c r="GP84" s="102"/>
      <c r="GQ84" s="102"/>
      <c r="GR84" s="102"/>
      <c r="GS84" s="102"/>
      <c r="GT84" s="102"/>
      <c r="GU84" s="102"/>
      <c r="GV84" s="102"/>
      <c r="GW84" s="102"/>
      <c r="GX84" s="102"/>
      <c r="GY84" s="102"/>
      <c r="GZ84" s="102"/>
      <c r="HA84" s="102"/>
      <c r="HB84" s="102"/>
      <c r="HC84" s="102"/>
      <c r="HD84" s="102"/>
      <c r="HE84" s="102"/>
      <c r="HF84" s="102"/>
      <c r="HG84" s="102"/>
      <c r="HH84" s="102"/>
      <c r="HI84" s="102"/>
      <c r="HJ84" s="102"/>
      <c r="HK84" s="102"/>
      <c r="HL84" s="102"/>
      <c r="HM84" s="102"/>
      <c r="HN84" s="102"/>
      <c r="HO84" s="102"/>
      <c r="HP84" s="102"/>
      <c r="HQ84" s="102"/>
      <c r="HR84" s="102"/>
      <c r="HS84" s="102"/>
      <c r="HT84" s="102"/>
      <c r="HU84" s="102"/>
      <c r="HV84" s="102"/>
      <c r="HW84" s="102"/>
      <c r="HX84" s="102"/>
      <c r="HY84" s="102"/>
      <c r="HZ84" s="102"/>
      <c r="IA84" s="102"/>
      <c r="IB84" s="102"/>
      <c r="IC84" s="102"/>
      <c r="ID84" s="102"/>
      <c r="IE84" s="102"/>
      <c r="IF84" s="102"/>
      <c r="IG84" s="102"/>
      <c r="IH84" s="102"/>
      <c r="II84" s="102"/>
      <c r="IJ84" s="102"/>
      <c r="IT84" s="233"/>
    </row>
    <row r="85" spans="1:254">
      <c r="A85" s="150"/>
      <c r="B85" s="186"/>
      <c r="C85" s="190" t="s">
        <v>166</v>
      </c>
      <c r="D85" s="234"/>
      <c r="E85" s="235"/>
      <c r="F85" s="236"/>
      <c r="G85" s="237"/>
      <c r="H85" s="235"/>
      <c r="I85" s="237"/>
      <c r="J85" s="235"/>
      <c r="K85" s="237"/>
      <c r="L85" s="238"/>
      <c r="M85" s="237"/>
      <c r="N85" s="235"/>
      <c r="O85" s="102"/>
      <c r="P85" s="102"/>
      <c r="Q85" s="102"/>
      <c r="R85" s="148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  <c r="CE85" s="102"/>
      <c r="CF85" s="102"/>
      <c r="CG85" s="102"/>
      <c r="CH85" s="102"/>
      <c r="CI85" s="102"/>
      <c r="CJ85" s="102"/>
      <c r="CK85" s="102"/>
      <c r="CL85" s="102"/>
      <c r="CM85" s="102"/>
      <c r="CN85" s="102"/>
      <c r="CO85" s="102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2"/>
      <c r="DC85" s="102"/>
      <c r="DD85" s="102"/>
      <c r="DE85" s="102"/>
      <c r="DF85" s="102"/>
      <c r="DG85" s="102"/>
      <c r="DH85" s="102"/>
      <c r="DI85" s="102"/>
      <c r="DJ85" s="102"/>
      <c r="DK85" s="102"/>
      <c r="DL85" s="102"/>
      <c r="DM85" s="102"/>
      <c r="DN85" s="102"/>
      <c r="DO85" s="102"/>
      <c r="DP85" s="102"/>
      <c r="DQ85" s="102"/>
      <c r="DR85" s="102"/>
      <c r="DS85" s="102"/>
      <c r="DT85" s="102"/>
      <c r="DU85" s="102"/>
      <c r="DV85" s="102"/>
      <c r="DW85" s="102"/>
      <c r="DX85" s="102"/>
      <c r="DY85" s="102"/>
      <c r="DZ85" s="102"/>
      <c r="EA85" s="102"/>
      <c r="EB85" s="102"/>
      <c r="EC85" s="102"/>
      <c r="ED85" s="102"/>
      <c r="EE85" s="102"/>
      <c r="EF85" s="102"/>
      <c r="EG85" s="102"/>
      <c r="EH85" s="102"/>
      <c r="EI85" s="102"/>
      <c r="EJ85" s="102"/>
      <c r="EK85" s="102"/>
      <c r="EL85" s="102"/>
      <c r="EM85" s="102"/>
      <c r="EN85" s="102"/>
      <c r="EO85" s="102"/>
      <c r="EP85" s="102"/>
      <c r="EQ85" s="102"/>
      <c r="ER85" s="102"/>
      <c r="ES85" s="102"/>
      <c r="ET85" s="102"/>
      <c r="EU85" s="102"/>
      <c r="EV85" s="102"/>
      <c r="EW85" s="102"/>
      <c r="EX85" s="102"/>
      <c r="EY85" s="102"/>
      <c r="EZ85" s="102"/>
      <c r="FA85" s="102"/>
      <c r="FB85" s="102"/>
      <c r="FC85" s="102"/>
      <c r="FD85" s="102"/>
      <c r="FE85" s="102"/>
      <c r="FF85" s="102"/>
      <c r="FG85" s="102"/>
      <c r="FH85" s="102"/>
      <c r="FI85" s="102"/>
      <c r="FJ85" s="102"/>
      <c r="FK85" s="102"/>
      <c r="FL85" s="102"/>
      <c r="FM85" s="102"/>
      <c r="FN85" s="102"/>
      <c r="FO85" s="102"/>
      <c r="FP85" s="102"/>
      <c r="FQ85" s="102"/>
      <c r="FR85" s="102"/>
      <c r="FS85" s="102"/>
      <c r="FT85" s="102"/>
      <c r="FU85" s="102"/>
      <c r="FV85" s="102"/>
      <c r="FW85" s="102"/>
      <c r="FX85" s="102"/>
      <c r="FY85" s="102"/>
      <c r="FZ85" s="102"/>
      <c r="GA85" s="102"/>
      <c r="GB85" s="102"/>
      <c r="GC85" s="102"/>
      <c r="GD85" s="102"/>
      <c r="GE85" s="102"/>
      <c r="GF85" s="102"/>
      <c r="GG85" s="102"/>
      <c r="GH85" s="102"/>
      <c r="GI85" s="102"/>
      <c r="GJ85" s="102"/>
      <c r="GK85" s="102"/>
      <c r="GL85" s="102"/>
      <c r="GM85" s="102"/>
      <c r="GN85" s="102"/>
      <c r="GO85" s="102"/>
      <c r="GP85" s="102"/>
      <c r="GQ85" s="102"/>
      <c r="GR85" s="102"/>
      <c r="GS85" s="102"/>
      <c r="GT85" s="102"/>
      <c r="GU85" s="102"/>
      <c r="GV85" s="102"/>
      <c r="GW85" s="102"/>
      <c r="GX85" s="102"/>
      <c r="GY85" s="102"/>
      <c r="GZ85" s="102"/>
      <c r="HA85" s="102"/>
      <c r="HB85" s="102"/>
      <c r="HC85" s="102"/>
      <c r="HD85" s="102"/>
      <c r="HE85" s="102"/>
      <c r="HF85" s="102"/>
      <c r="HG85" s="102"/>
      <c r="HH85" s="102"/>
      <c r="HI85" s="102"/>
      <c r="HJ85" s="102"/>
      <c r="HK85" s="102"/>
      <c r="HL85" s="102"/>
      <c r="HM85" s="102"/>
      <c r="HN85" s="102"/>
      <c r="HO85" s="102"/>
      <c r="HP85" s="102"/>
      <c r="HQ85" s="102"/>
      <c r="HR85" s="102"/>
      <c r="HS85" s="102"/>
      <c r="HT85" s="102"/>
      <c r="HU85" s="102"/>
      <c r="HV85" s="102"/>
      <c r="HW85" s="102"/>
      <c r="HX85" s="102"/>
      <c r="HY85" s="102"/>
      <c r="HZ85" s="102"/>
      <c r="IA85" s="102"/>
      <c r="IB85" s="102"/>
      <c r="IC85" s="102"/>
      <c r="ID85" s="102"/>
      <c r="IE85" s="102"/>
      <c r="IF85" s="102"/>
      <c r="IG85" s="102"/>
      <c r="IH85" s="102"/>
      <c r="II85" s="102"/>
      <c r="IJ85" s="102"/>
      <c r="IT85" s="233"/>
    </row>
    <row r="86" spans="1:254" ht="79.5" thickBot="1">
      <c r="A86" s="150"/>
      <c r="B86" s="143" t="s">
        <v>167</v>
      </c>
      <c r="C86" s="144" t="s">
        <v>192</v>
      </c>
      <c r="D86" s="145" t="s">
        <v>191</v>
      </c>
      <c r="E86" s="403" t="s">
        <v>193</v>
      </c>
      <c r="F86" s="404"/>
      <c r="G86" s="405" t="s">
        <v>194</v>
      </c>
      <c r="H86" s="403" t="s">
        <v>193</v>
      </c>
      <c r="I86" s="405" t="s">
        <v>194</v>
      </c>
      <c r="J86" s="403" t="s">
        <v>193</v>
      </c>
      <c r="K86" s="405" t="s">
        <v>194</v>
      </c>
      <c r="L86" s="403" t="s">
        <v>193</v>
      </c>
      <c r="M86" s="405"/>
      <c r="N86" s="403"/>
      <c r="O86" s="102">
        <f>0.3*2964/1000</f>
        <v>0.88919999999999988</v>
      </c>
      <c r="P86" s="102"/>
      <c r="Q86" s="102"/>
      <c r="R86" s="148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  <c r="CD86" s="102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2"/>
      <c r="CP86" s="102"/>
      <c r="CQ86" s="102"/>
      <c r="CR86" s="102"/>
      <c r="CS86" s="102"/>
      <c r="CT86" s="102"/>
      <c r="CU86" s="102"/>
      <c r="CV86" s="102"/>
      <c r="CW86" s="102"/>
      <c r="CX86" s="102"/>
      <c r="CY86" s="102"/>
      <c r="CZ86" s="102"/>
      <c r="DA86" s="102"/>
      <c r="DB86" s="102"/>
      <c r="DC86" s="102"/>
      <c r="DD86" s="102"/>
      <c r="DE86" s="102"/>
      <c r="DF86" s="102"/>
      <c r="DG86" s="102"/>
      <c r="DH86" s="102"/>
      <c r="DI86" s="102"/>
      <c r="DJ86" s="102"/>
      <c r="DK86" s="102"/>
      <c r="DL86" s="102"/>
      <c r="DM86" s="102"/>
      <c r="DN86" s="102"/>
      <c r="DO86" s="102"/>
      <c r="DP86" s="102"/>
      <c r="DQ86" s="102"/>
      <c r="DR86" s="102"/>
      <c r="DS86" s="102"/>
      <c r="DT86" s="102"/>
      <c r="DU86" s="102"/>
      <c r="DV86" s="102"/>
      <c r="DW86" s="102"/>
      <c r="DX86" s="102"/>
      <c r="DY86" s="102"/>
      <c r="DZ86" s="102"/>
      <c r="EA86" s="102"/>
      <c r="EB86" s="102"/>
      <c r="EC86" s="102"/>
      <c r="ED86" s="102"/>
      <c r="EE86" s="102"/>
      <c r="EF86" s="102"/>
      <c r="EG86" s="102"/>
      <c r="EH86" s="102"/>
      <c r="EI86" s="102"/>
      <c r="EJ86" s="102"/>
      <c r="EK86" s="102"/>
      <c r="EL86" s="102"/>
      <c r="EM86" s="102"/>
      <c r="EN86" s="102"/>
      <c r="EO86" s="102"/>
      <c r="EP86" s="102"/>
      <c r="EQ86" s="102"/>
      <c r="ER86" s="102"/>
      <c r="ES86" s="102"/>
      <c r="ET86" s="102"/>
      <c r="EU86" s="102"/>
      <c r="EV86" s="102"/>
      <c r="EW86" s="102"/>
      <c r="EX86" s="102"/>
      <c r="EY86" s="102"/>
      <c r="EZ86" s="102"/>
      <c r="FA86" s="102"/>
      <c r="FB86" s="102"/>
      <c r="FC86" s="102"/>
      <c r="FD86" s="102"/>
      <c r="FE86" s="102"/>
      <c r="FF86" s="102"/>
      <c r="FG86" s="102"/>
      <c r="FH86" s="102"/>
      <c r="FI86" s="102"/>
      <c r="FJ86" s="102"/>
      <c r="FK86" s="102"/>
      <c r="FL86" s="102"/>
      <c r="FM86" s="102"/>
      <c r="FN86" s="102"/>
      <c r="FO86" s="102"/>
      <c r="FP86" s="102"/>
      <c r="FQ86" s="102"/>
      <c r="FR86" s="102"/>
      <c r="FS86" s="102"/>
      <c r="FT86" s="102"/>
      <c r="FU86" s="102"/>
      <c r="FV86" s="102"/>
      <c r="FW86" s="102"/>
      <c r="FX86" s="102"/>
      <c r="FY86" s="102"/>
      <c r="FZ86" s="102"/>
      <c r="GA86" s="102"/>
      <c r="GB86" s="102"/>
      <c r="GC86" s="102"/>
      <c r="GD86" s="102"/>
      <c r="GE86" s="102"/>
      <c r="GF86" s="102"/>
      <c r="GG86" s="102"/>
      <c r="GH86" s="102"/>
      <c r="GI86" s="102"/>
      <c r="GJ86" s="102"/>
      <c r="GK86" s="102"/>
      <c r="GL86" s="102"/>
      <c r="GM86" s="102"/>
      <c r="GN86" s="102"/>
      <c r="GO86" s="102"/>
      <c r="GP86" s="102"/>
      <c r="GQ86" s="102"/>
      <c r="GR86" s="102"/>
      <c r="GS86" s="102"/>
      <c r="GT86" s="102"/>
      <c r="GU86" s="102"/>
      <c r="GV86" s="102"/>
      <c r="GW86" s="102"/>
      <c r="GX86" s="102"/>
      <c r="GY86" s="102"/>
      <c r="GZ86" s="102"/>
      <c r="HA86" s="102"/>
      <c r="HB86" s="102"/>
      <c r="HC86" s="102"/>
      <c r="HD86" s="102"/>
      <c r="HE86" s="102"/>
      <c r="HF86" s="102"/>
      <c r="HG86" s="102"/>
      <c r="HH86" s="102"/>
      <c r="HI86" s="102"/>
      <c r="HJ86" s="102"/>
      <c r="HK86" s="102"/>
      <c r="HL86" s="102"/>
      <c r="HM86" s="102"/>
      <c r="HN86" s="102"/>
      <c r="HO86" s="102"/>
      <c r="HP86" s="102"/>
      <c r="HQ86" s="102"/>
      <c r="HR86" s="102"/>
      <c r="HS86" s="102"/>
      <c r="HT86" s="102"/>
      <c r="HU86" s="102"/>
      <c r="HV86" s="102"/>
      <c r="HW86" s="102"/>
      <c r="HX86" s="102"/>
      <c r="HY86" s="102"/>
      <c r="HZ86" s="102"/>
      <c r="IA86" s="102"/>
      <c r="IB86" s="102"/>
      <c r="IC86" s="102"/>
      <c r="ID86" s="102"/>
      <c r="IE86" s="102"/>
      <c r="IF86" s="102"/>
      <c r="IG86" s="102"/>
      <c r="IH86" s="102"/>
      <c r="II86" s="102"/>
      <c r="IJ86" s="102"/>
      <c r="IT86" s="233"/>
    </row>
    <row r="87" spans="1:254" s="239" customFormat="1" ht="26.25" customHeight="1">
      <c r="A87" s="150"/>
      <c r="B87" s="186" t="s">
        <v>4</v>
      </c>
      <c r="C87" s="190" t="s">
        <v>282</v>
      </c>
      <c r="D87" s="183"/>
      <c r="E87" s="183"/>
      <c r="F87" s="187"/>
      <c r="G87" s="188"/>
      <c r="H87" s="183"/>
      <c r="I87" s="188"/>
      <c r="J87" s="183"/>
      <c r="K87" s="188"/>
      <c r="L87" s="183"/>
      <c r="M87" s="188"/>
      <c r="N87" s="183"/>
      <c r="O87" s="102"/>
      <c r="P87" s="102"/>
      <c r="Q87" s="102"/>
      <c r="R87" s="148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2"/>
      <c r="DC87" s="102"/>
      <c r="DD87" s="102"/>
      <c r="DE87" s="102"/>
      <c r="DF87" s="102"/>
      <c r="DG87" s="102"/>
      <c r="DH87" s="102"/>
      <c r="DI87" s="102"/>
      <c r="DJ87" s="102"/>
      <c r="DK87" s="102"/>
      <c r="DL87" s="102"/>
      <c r="DM87" s="102"/>
      <c r="DN87" s="102"/>
      <c r="DO87" s="102"/>
      <c r="DP87" s="102"/>
      <c r="DQ87" s="102"/>
      <c r="DR87" s="102"/>
      <c r="DS87" s="102"/>
      <c r="DT87" s="102"/>
      <c r="DU87" s="102"/>
      <c r="DV87" s="102"/>
      <c r="DW87" s="102"/>
      <c r="DX87" s="102"/>
      <c r="DY87" s="102"/>
      <c r="DZ87" s="102"/>
      <c r="EA87" s="102"/>
      <c r="EB87" s="102"/>
      <c r="EC87" s="102"/>
      <c r="ED87" s="102"/>
      <c r="EE87" s="102"/>
      <c r="EF87" s="102"/>
      <c r="EG87" s="102"/>
      <c r="EH87" s="102"/>
      <c r="EI87" s="102"/>
      <c r="EJ87" s="102"/>
      <c r="EK87" s="102"/>
      <c r="EL87" s="102"/>
      <c r="EM87" s="102"/>
      <c r="EN87" s="102"/>
      <c r="EO87" s="102"/>
      <c r="EP87" s="102"/>
      <c r="EQ87" s="102"/>
      <c r="ER87" s="102"/>
      <c r="ES87" s="102"/>
      <c r="ET87" s="102"/>
      <c r="EU87" s="102"/>
      <c r="EV87" s="102"/>
      <c r="EW87" s="102"/>
      <c r="EX87" s="102"/>
      <c r="EY87" s="102"/>
      <c r="EZ87" s="102"/>
      <c r="FA87" s="102"/>
      <c r="FB87" s="102"/>
      <c r="FC87" s="102"/>
      <c r="FD87" s="102"/>
      <c r="FE87" s="102"/>
      <c r="FF87" s="102"/>
      <c r="FG87" s="102"/>
      <c r="FH87" s="102"/>
      <c r="FI87" s="102"/>
      <c r="FJ87" s="102"/>
      <c r="FK87" s="102"/>
      <c r="FL87" s="102"/>
      <c r="FM87" s="102"/>
      <c r="FN87" s="102"/>
      <c r="FO87" s="102"/>
      <c r="FP87" s="102"/>
      <c r="FQ87" s="102"/>
      <c r="FR87" s="102"/>
      <c r="FS87" s="102"/>
      <c r="FT87" s="102"/>
      <c r="FU87" s="102"/>
      <c r="FV87" s="102"/>
      <c r="FW87" s="102"/>
      <c r="FX87" s="102"/>
      <c r="FY87" s="102"/>
      <c r="FZ87" s="102"/>
      <c r="GA87" s="102"/>
      <c r="GB87" s="102"/>
      <c r="GC87" s="102"/>
      <c r="GD87" s="102"/>
      <c r="GE87" s="102"/>
      <c r="GF87" s="102"/>
      <c r="GG87" s="102"/>
      <c r="GH87" s="102"/>
      <c r="GI87" s="102"/>
      <c r="GJ87" s="102"/>
      <c r="GK87" s="102"/>
      <c r="GL87" s="102"/>
      <c r="GM87" s="102"/>
      <c r="GN87" s="102"/>
      <c r="GO87" s="102"/>
      <c r="GP87" s="102"/>
      <c r="GQ87" s="102"/>
      <c r="GR87" s="102"/>
      <c r="GS87" s="102"/>
      <c r="GT87" s="102"/>
      <c r="GU87" s="102"/>
      <c r="GV87" s="102"/>
      <c r="GW87" s="102"/>
      <c r="GX87" s="102"/>
      <c r="GY87" s="102"/>
      <c r="GZ87" s="102"/>
      <c r="HA87" s="102"/>
      <c r="HB87" s="102"/>
      <c r="HC87" s="102"/>
      <c r="HD87" s="102"/>
      <c r="HE87" s="102"/>
      <c r="HF87" s="102"/>
      <c r="HG87" s="102"/>
      <c r="HH87" s="102"/>
      <c r="HI87" s="102"/>
      <c r="HJ87" s="102"/>
      <c r="HK87" s="102"/>
      <c r="HL87" s="102"/>
      <c r="HM87" s="102"/>
      <c r="HN87" s="102"/>
      <c r="HO87" s="102"/>
      <c r="HP87" s="102"/>
      <c r="HQ87" s="102"/>
      <c r="HR87" s="102"/>
      <c r="HS87" s="102"/>
      <c r="HT87" s="102"/>
      <c r="HU87" s="102"/>
      <c r="HV87" s="102"/>
      <c r="HW87" s="102"/>
      <c r="HX87" s="102"/>
      <c r="HY87" s="102"/>
      <c r="HZ87" s="102"/>
      <c r="IA87" s="102"/>
      <c r="IB87" s="102"/>
      <c r="IC87" s="102"/>
      <c r="ID87" s="102"/>
      <c r="IE87" s="102"/>
      <c r="IF87" s="102"/>
      <c r="IG87" s="102"/>
      <c r="IH87" s="102"/>
      <c r="II87" s="102"/>
      <c r="IJ87" s="102"/>
      <c r="IT87" s="233"/>
    </row>
    <row r="88" spans="1:254" s="239" customFormat="1" ht="129.75" customHeight="1">
      <c r="A88" s="150"/>
      <c r="B88" s="132" t="s">
        <v>181</v>
      </c>
      <c r="C88" s="306" t="s">
        <v>261</v>
      </c>
      <c r="D88" s="133" t="s">
        <v>128</v>
      </c>
      <c r="E88" s="219">
        <v>3.38</v>
      </c>
      <c r="F88" s="134"/>
      <c r="G88" s="218">
        <v>0.32500000000000001</v>
      </c>
      <c r="H88" s="219">
        <v>3.7050000000000001</v>
      </c>
      <c r="I88" s="218" t="s">
        <v>188</v>
      </c>
      <c r="J88" s="219">
        <v>3.7050000000000001</v>
      </c>
      <c r="K88" s="166" t="s">
        <v>188</v>
      </c>
      <c r="L88" s="195">
        <v>3.7050000000000001</v>
      </c>
      <c r="M88" s="218"/>
      <c r="N88" s="219"/>
      <c r="O88" s="102">
        <f>2.27994+0.80698+0.6183</f>
        <v>3.7052200000000002</v>
      </c>
      <c r="P88" s="153">
        <f>O88-E88</f>
        <v>0.32522000000000029</v>
      </c>
      <c r="Q88" s="153"/>
      <c r="R88" s="148"/>
      <c r="S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102"/>
      <c r="DS88" s="102"/>
      <c r="DT88" s="102"/>
      <c r="DU88" s="102"/>
      <c r="DV88" s="102"/>
      <c r="DW88" s="102"/>
      <c r="DX88" s="102"/>
      <c r="DY88" s="102"/>
      <c r="DZ88" s="102"/>
      <c r="EA88" s="102"/>
      <c r="EB88" s="102"/>
      <c r="EC88" s="102"/>
      <c r="ED88" s="102"/>
      <c r="EE88" s="102"/>
      <c r="EF88" s="102"/>
      <c r="EG88" s="102"/>
      <c r="EH88" s="102"/>
      <c r="EI88" s="102"/>
      <c r="EJ88" s="102"/>
      <c r="EK88" s="102"/>
      <c r="EL88" s="102"/>
      <c r="EM88" s="102"/>
      <c r="EN88" s="102"/>
      <c r="EO88" s="102"/>
      <c r="EP88" s="102"/>
      <c r="EQ88" s="102"/>
      <c r="ER88" s="102"/>
      <c r="ES88" s="102"/>
      <c r="ET88" s="102"/>
      <c r="EU88" s="102"/>
      <c r="EV88" s="102"/>
      <c r="EW88" s="102"/>
      <c r="EX88" s="102"/>
      <c r="EY88" s="102"/>
      <c r="EZ88" s="102"/>
      <c r="FA88" s="102"/>
      <c r="FB88" s="102"/>
      <c r="FC88" s="102"/>
      <c r="FD88" s="102"/>
      <c r="FE88" s="102"/>
      <c r="FF88" s="102"/>
      <c r="FG88" s="102"/>
      <c r="FH88" s="102"/>
      <c r="FI88" s="102"/>
      <c r="FJ88" s="102"/>
      <c r="FK88" s="102"/>
      <c r="FL88" s="102"/>
      <c r="FM88" s="102"/>
      <c r="FN88" s="102"/>
      <c r="FO88" s="102"/>
      <c r="FP88" s="102"/>
      <c r="FQ88" s="102"/>
      <c r="FR88" s="102"/>
      <c r="FS88" s="102"/>
      <c r="FT88" s="102"/>
      <c r="FU88" s="102"/>
      <c r="FV88" s="102"/>
      <c r="FW88" s="102"/>
      <c r="FX88" s="102"/>
      <c r="FY88" s="102"/>
      <c r="FZ88" s="102"/>
      <c r="GA88" s="102"/>
      <c r="GB88" s="102"/>
      <c r="GC88" s="102"/>
      <c r="GD88" s="102"/>
      <c r="GE88" s="102"/>
      <c r="GF88" s="102"/>
      <c r="GG88" s="102"/>
      <c r="GH88" s="102"/>
      <c r="GI88" s="102"/>
      <c r="GJ88" s="102"/>
      <c r="GK88" s="102"/>
      <c r="GL88" s="102"/>
      <c r="GM88" s="102"/>
      <c r="GN88" s="102"/>
      <c r="GO88" s="102"/>
      <c r="GP88" s="102"/>
      <c r="GQ88" s="102"/>
      <c r="GR88" s="102"/>
      <c r="GS88" s="102"/>
      <c r="GT88" s="102"/>
      <c r="GU88" s="102"/>
      <c r="GV88" s="102"/>
      <c r="GW88" s="102"/>
      <c r="GX88" s="102"/>
      <c r="GY88" s="102"/>
      <c r="GZ88" s="102"/>
      <c r="HA88" s="102"/>
      <c r="HB88" s="102"/>
      <c r="HC88" s="102"/>
      <c r="HD88" s="102"/>
      <c r="HE88" s="102"/>
      <c r="HF88" s="102"/>
      <c r="HG88" s="102"/>
      <c r="HH88" s="102"/>
      <c r="HI88" s="102"/>
      <c r="HJ88" s="102"/>
      <c r="HK88" s="102"/>
      <c r="HL88" s="102"/>
      <c r="HM88" s="102"/>
      <c r="HN88" s="102"/>
      <c r="HO88" s="102"/>
      <c r="HP88" s="102"/>
      <c r="HQ88" s="102"/>
      <c r="HR88" s="102"/>
      <c r="HS88" s="102"/>
      <c r="HT88" s="102"/>
      <c r="HU88" s="102"/>
      <c r="HV88" s="102"/>
      <c r="HW88" s="102"/>
      <c r="HX88" s="102"/>
      <c r="HY88" s="102"/>
      <c r="HZ88" s="102"/>
      <c r="IA88" s="102"/>
      <c r="IB88" s="102"/>
      <c r="IC88" s="102"/>
      <c r="ID88" s="102"/>
      <c r="IE88" s="102"/>
      <c r="IF88" s="102"/>
      <c r="IG88" s="102"/>
      <c r="IH88" s="102"/>
      <c r="II88" s="102"/>
      <c r="IJ88" s="102"/>
      <c r="IT88" s="233"/>
    </row>
    <row r="89" spans="1:254" s="239" customFormat="1" ht="95.25" customHeight="1" thickBot="1">
      <c r="A89" s="150"/>
      <c r="B89" s="135" t="s">
        <v>182</v>
      </c>
      <c r="C89" s="184" t="s">
        <v>183</v>
      </c>
      <c r="D89" s="171" t="s">
        <v>131</v>
      </c>
      <c r="E89" s="172">
        <v>170.12289999999999</v>
      </c>
      <c r="F89" s="172"/>
      <c r="G89" s="169" t="s">
        <v>188</v>
      </c>
      <c r="H89" s="172">
        <v>170.12289999999999</v>
      </c>
      <c r="I89" s="169" t="s">
        <v>188</v>
      </c>
      <c r="J89" s="172">
        <v>170.12289999999999</v>
      </c>
      <c r="K89" s="169" t="s">
        <v>188</v>
      </c>
      <c r="L89" s="172">
        <v>170.12289999999999</v>
      </c>
      <c r="M89" s="220"/>
      <c r="N89" s="221"/>
      <c r="O89" s="102">
        <f>(2.842-1.566)*40</f>
        <v>51.04</v>
      </c>
      <c r="P89" s="102">
        <f>357.39*(0.063*4+0.005*2)+1023.9*(0.05*2+0.004*2)</f>
        <v>204.21737999999999</v>
      </c>
      <c r="Q89" s="153">
        <f>P89-E89</f>
        <v>34.094480000000004</v>
      </c>
      <c r="R89" s="148">
        <f>2.24146*52+1.07074*63.9</f>
        <v>184.97620599999999</v>
      </c>
      <c r="S89" s="153">
        <f>R89-E89</f>
        <v>14.853306000000003</v>
      </c>
      <c r="T89" s="102">
        <f>2.27994*52+0.80698*63.9</f>
        <v>170.12290200000001</v>
      </c>
      <c r="U89" s="153">
        <f>T89-L89</f>
        <v>2.0000000233721948E-6</v>
      </c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2"/>
      <c r="CP89" s="102"/>
      <c r="CQ89" s="102"/>
      <c r="CR89" s="102"/>
      <c r="CS89" s="102"/>
      <c r="CT89" s="102"/>
      <c r="CU89" s="102"/>
      <c r="CV89" s="102"/>
      <c r="CW89" s="102"/>
      <c r="CX89" s="102"/>
      <c r="CY89" s="102"/>
      <c r="CZ89" s="102"/>
      <c r="DA89" s="102"/>
      <c r="DB89" s="102"/>
      <c r="DC89" s="102"/>
      <c r="DD89" s="102"/>
      <c r="DE89" s="102"/>
      <c r="DF89" s="102"/>
      <c r="DG89" s="102"/>
      <c r="DH89" s="102"/>
      <c r="DI89" s="102"/>
      <c r="DJ89" s="102"/>
      <c r="DK89" s="102"/>
      <c r="DL89" s="102"/>
      <c r="DM89" s="102"/>
      <c r="DN89" s="102"/>
      <c r="DO89" s="102"/>
      <c r="DP89" s="102"/>
      <c r="DQ89" s="102"/>
      <c r="DR89" s="102"/>
      <c r="DS89" s="102"/>
      <c r="DT89" s="102"/>
      <c r="DU89" s="102"/>
      <c r="DV89" s="102"/>
      <c r="DW89" s="102"/>
      <c r="DX89" s="102"/>
      <c r="DY89" s="102"/>
      <c r="DZ89" s="102"/>
      <c r="EA89" s="102"/>
      <c r="EB89" s="102"/>
      <c r="EC89" s="102"/>
      <c r="ED89" s="102"/>
      <c r="EE89" s="102"/>
      <c r="EF89" s="102"/>
      <c r="EG89" s="102"/>
      <c r="EH89" s="102"/>
      <c r="EI89" s="102"/>
      <c r="EJ89" s="102"/>
      <c r="EK89" s="102"/>
      <c r="EL89" s="102"/>
      <c r="EM89" s="102"/>
      <c r="EN89" s="102"/>
      <c r="EO89" s="102"/>
      <c r="EP89" s="102"/>
      <c r="EQ89" s="102"/>
      <c r="ER89" s="102"/>
      <c r="ES89" s="102"/>
      <c r="ET89" s="102"/>
      <c r="EU89" s="102"/>
      <c r="EV89" s="102"/>
      <c r="EW89" s="102"/>
      <c r="EX89" s="102"/>
      <c r="EY89" s="102"/>
      <c r="EZ89" s="102"/>
      <c r="FA89" s="102"/>
      <c r="FB89" s="102"/>
      <c r="FC89" s="102"/>
      <c r="FD89" s="102"/>
      <c r="FE89" s="102"/>
      <c r="FF89" s="102"/>
      <c r="FG89" s="102"/>
      <c r="FH89" s="102"/>
      <c r="FI89" s="102"/>
      <c r="FJ89" s="102"/>
      <c r="FK89" s="102"/>
      <c r="FL89" s="102"/>
      <c r="FM89" s="102"/>
      <c r="FN89" s="102"/>
      <c r="FO89" s="102"/>
      <c r="FP89" s="102"/>
      <c r="FQ89" s="102"/>
      <c r="FR89" s="102"/>
      <c r="FS89" s="102"/>
      <c r="FT89" s="102"/>
      <c r="FU89" s="102"/>
      <c r="FV89" s="102"/>
      <c r="FW89" s="102"/>
      <c r="FX89" s="102"/>
      <c r="FY89" s="102"/>
      <c r="FZ89" s="102"/>
      <c r="GA89" s="102"/>
      <c r="GB89" s="102"/>
      <c r="GC89" s="102"/>
      <c r="GD89" s="102"/>
      <c r="GE89" s="102"/>
      <c r="GF89" s="102"/>
      <c r="GG89" s="102"/>
      <c r="GH89" s="102"/>
      <c r="GI89" s="102"/>
      <c r="GJ89" s="102"/>
      <c r="GK89" s="102"/>
      <c r="GL89" s="102"/>
      <c r="GM89" s="102"/>
      <c r="GN89" s="102"/>
      <c r="GO89" s="102"/>
      <c r="GP89" s="102"/>
      <c r="GQ89" s="102"/>
      <c r="GR89" s="102"/>
      <c r="GS89" s="102"/>
      <c r="GT89" s="102"/>
      <c r="GU89" s="102"/>
      <c r="GV89" s="102"/>
      <c r="GW89" s="102"/>
      <c r="GX89" s="102"/>
      <c r="GY89" s="102"/>
      <c r="GZ89" s="102"/>
      <c r="HA89" s="102"/>
      <c r="HB89" s="102"/>
      <c r="HC89" s="102"/>
      <c r="HD89" s="102"/>
      <c r="HE89" s="102"/>
      <c r="HF89" s="102"/>
      <c r="HG89" s="102"/>
      <c r="HH89" s="102"/>
      <c r="HI89" s="102"/>
      <c r="HJ89" s="102"/>
      <c r="HK89" s="102"/>
      <c r="HL89" s="102"/>
      <c r="HM89" s="102"/>
      <c r="HN89" s="102"/>
      <c r="HO89" s="102"/>
      <c r="HP89" s="102"/>
      <c r="HQ89" s="102"/>
      <c r="HR89" s="102"/>
      <c r="HS89" s="102"/>
      <c r="HT89" s="102"/>
      <c r="HU89" s="102"/>
      <c r="HV89" s="102"/>
      <c r="HW89" s="102"/>
      <c r="HX89" s="102"/>
      <c r="HY89" s="102"/>
      <c r="HZ89" s="102"/>
      <c r="IA89" s="102"/>
      <c r="IB89" s="102"/>
      <c r="IC89" s="102"/>
      <c r="ID89" s="102"/>
      <c r="IE89" s="102"/>
      <c r="IF89" s="102"/>
      <c r="IG89" s="102"/>
      <c r="IH89" s="102"/>
      <c r="II89" s="102"/>
      <c r="IJ89" s="102"/>
    </row>
    <row r="90" spans="1:254" ht="16.5" thickBot="1">
      <c r="A90" s="150"/>
      <c r="B90" s="186" t="s">
        <v>4</v>
      </c>
      <c r="C90" s="190" t="s">
        <v>195</v>
      </c>
      <c r="D90" s="183"/>
      <c r="E90" s="183"/>
      <c r="F90" s="187"/>
      <c r="G90" s="188"/>
      <c r="H90" s="183"/>
      <c r="I90" s="188"/>
      <c r="J90" s="183"/>
      <c r="K90" s="188"/>
      <c r="L90" s="183"/>
      <c r="M90" s="188"/>
      <c r="N90" s="183"/>
      <c r="O90" s="102"/>
      <c r="P90" s="102"/>
      <c r="Q90" s="102"/>
      <c r="R90" s="148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2"/>
      <c r="DC90" s="102"/>
      <c r="DD90" s="102"/>
      <c r="DE90" s="102"/>
      <c r="DF90" s="102"/>
      <c r="DG90" s="102"/>
      <c r="DH90" s="102"/>
      <c r="DI90" s="102"/>
      <c r="DJ90" s="102"/>
      <c r="DK90" s="102"/>
      <c r="DL90" s="102"/>
      <c r="DM90" s="102"/>
      <c r="DN90" s="102"/>
      <c r="DO90" s="102"/>
      <c r="DP90" s="102"/>
      <c r="DQ90" s="102"/>
      <c r="DR90" s="102"/>
      <c r="DS90" s="102"/>
      <c r="DT90" s="102"/>
      <c r="DU90" s="102"/>
      <c r="DV90" s="102"/>
      <c r="DW90" s="102"/>
      <c r="DX90" s="102"/>
      <c r="DY90" s="102"/>
      <c r="DZ90" s="102"/>
      <c r="EA90" s="102"/>
      <c r="EB90" s="102"/>
      <c r="EC90" s="102"/>
      <c r="ED90" s="102"/>
      <c r="EE90" s="102"/>
      <c r="EF90" s="102"/>
      <c r="EG90" s="102"/>
      <c r="EH90" s="102"/>
      <c r="EI90" s="102"/>
      <c r="EJ90" s="102"/>
      <c r="EK90" s="102"/>
      <c r="EL90" s="102"/>
      <c r="EM90" s="102"/>
      <c r="EN90" s="102"/>
      <c r="EO90" s="102"/>
      <c r="EP90" s="102"/>
      <c r="EQ90" s="102"/>
      <c r="ER90" s="102"/>
      <c r="ES90" s="102"/>
      <c r="ET90" s="102"/>
      <c r="EU90" s="102"/>
      <c r="EV90" s="102"/>
      <c r="EW90" s="102"/>
      <c r="EX90" s="102"/>
      <c r="EY90" s="102"/>
      <c r="EZ90" s="102"/>
      <c r="FA90" s="102"/>
      <c r="FB90" s="102"/>
      <c r="FC90" s="102"/>
      <c r="FD90" s="102"/>
      <c r="FE90" s="102"/>
      <c r="FF90" s="102"/>
      <c r="FG90" s="102"/>
      <c r="FH90" s="102"/>
      <c r="FI90" s="102"/>
      <c r="FJ90" s="102"/>
      <c r="FK90" s="102"/>
      <c r="FL90" s="102"/>
      <c r="FM90" s="102"/>
      <c r="FN90" s="102"/>
      <c r="FO90" s="102"/>
      <c r="FP90" s="102"/>
      <c r="FQ90" s="102"/>
      <c r="FR90" s="102"/>
      <c r="FS90" s="102"/>
      <c r="FT90" s="102"/>
      <c r="FU90" s="102"/>
      <c r="FV90" s="102"/>
      <c r="FW90" s="102"/>
      <c r="FX90" s="102"/>
      <c r="FY90" s="102"/>
      <c r="FZ90" s="102"/>
      <c r="GA90" s="102"/>
      <c r="GB90" s="102"/>
      <c r="GC90" s="102"/>
      <c r="GD90" s="102"/>
      <c r="GE90" s="102"/>
      <c r="GF90" s="102"/>
      <c r="GG90" s="102"/>
      <c r="GH90" s="102"/>
      <c r="GI90" s="102"/>
      <c r="GJ90" s="102"/>
      <c r="GK90" s="102"/>
      <c r="GL90" s="102"/>
      <c r="GM90" s="102"/>
      <c r="GN90" s="102"/>
      <c r="GO90" s="102"/>
      <c r="GP90" s="102"/>
      <c r="GQ90" s="102"/>
      <c r="GR90" s="102"/>
      <c r="GS90" s="102"/>
      <c r="GT90" s="102"/>
      <c r="GU90" s="102"/>
      <c r="GV90" s="102"/>
      <c r="GW90" s="102"/>
      <c r="GX90" s="102"/>
      <c r="GY90" s="102"/>
      <c r="GZ90" s="102"/>
      <c r="HA90" s="102"/>
      <c r="HB90" s="102"/>
      <c r="HC90" s="102"/>
      <c r="HD90" s="102"/>
      <c r="HE90" s="102"/>
      <c r="HF90" s="102"/>
      <c r="HG90" s="102"/>
      <c r="HH90" s="102"/>
      <c r="HI90" s="102"/>
      <c r="HJ90" s="102"/>
      <c r="HK90" s="102"/>
      <c r="HL90" s="102"/>
      <c r="HM90" s="102"/>
      <c r="HN90" s="102"/>
      <c r="HO90" s="102"/>
      <c r="HP90" s="102"/>
      <c r="HQ90" s="102"/>
      <c r="HR90" s="102"/>
      <c r="HS90" s="102"/>
      <c r="HT90" s="102"/>
      <c r="HU90" s="102"/>
      <c r="HV90" s="102"/>
      <c r="HW90" s="102"/>
      <c r="HX90" s="102"/>
      <c r="HY90" s="102"/>
      <c r="HZ90" s="102"/>
      <c r="IA90" s="102"/>
      <c r="IB90" s="102"/>
      <c r="IC90" s="102"/>
      <c r="ID90" s="102"/>
      <c r="IE90" s="102"/>
      <c r="IF90" s="102"/>
      <c r="IG90" s="102"/>
      <c r="IH90" s="102"/>
      <c r="II90" s="102"/>
      <c r="IJ90" s="102"/>
    </row>
    <row r="91" spans="1:254" ht="47.25">
      <c r="A91" s="150"/>
      <c r="B91" s="186" t="s">
        <v>196</v>
      </c>
      <c r="C91" s="439" t="s">
        <v>223</v>
      </c>
      <c r="D91" s="260" t="s">
        <v>128</v>
      </c>
      <c r="E91" s="261">
        <v>4.68</v>
      </c>
      <c r="F91" s="262"/>
      <c r="G91" s="261">
        <v>-4.68</v>
      </c>
      <c r="H91" s="261">
        <v>0</v>
      </c>
      <c r="I91" s="261" t="s">
        <v>188</v>
      </c>
      <c r="J91" s="261">
        <v>0</v>
      </c>
      <c r="K91" s="261" t="s">
        <v>188</v>
      </c>
      <c r="L91" s="261">
        <v>0</v>
      </c>
      <c r="M91" s="288"/>
      <c r="N91" s="261"/>
      <c r="O91" s="102">
        <f>0.2792+3.189007+0.576576+0.0338</f>
        <v>4.0785830000000001</v>
      </c>
      <c r="P91" s="102"/>
      <c r="Q91" s="102"/>
      <c r="R91" s="148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02"/>
      <c r="BD91" s="102"/>
      <c r="BE91" s="102"/>
      <c r="BF91" s="102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2"/>
      <c r="DC91" s="102"/>
      <c r="DD91" s="102"/>
      <c r="DE91" s="102"/>
      <c r="DF91" s="102"/>
      <c r="DG91" s="102"/>
      <c r="DH91" s="102"/>
      <c r="DI91" s="102"/>
      <c r="DJ91" s="102"/>
      <c r="DK91" s="102"/>
      <c r="DL91" s="102"/>
      <c r="DM91" s="102"/>
      <c r="DN91" s="102"/>
      <c r="DO91" s="102"/>
      <c r="DP91" s="102"/>
      <c r="DQ91" s="102"/>
      <c r="DR91" s="102"/>
      <c r="DS91" s="102"/>
      <c r="DT91" s="102"/>
      <c r="DU91" s="102"/>
      <c r="DV91" s="102"/>
      <c r="DW91" s="102"/>
      <c r="DX91" s="102"/>
      <c r="DY91" s="102"/>
      <c r="DZ91" s="102"/>
      <c r="EA91" s="102"/>
      <c r="EB91" s="102"/>
      <c r="EC91" s="102"/>
      <c r="ED91" s="102"/>
      <c r="EE91" s="102"/>
      <c r="EF91" s="102"/>
      <c r="EG91" s="102"/>
      <c r="EH91" s="102"/>
      <c r="EI91" s="102"/>
      <c r="EJ91" s="102"/>
      <c r="EK91" s="102"/>
      <c r="EL91" s="102"/>
      <c r="EM91" s="102"/>
      <c r="EN91" s="102"/>
      <c r="EO91" s="102"/>
      <c r="EP91" s="102"/>
      <c r="EQ91" s="102"/>
      <c r="ER91" s="102"/>
      <c r="ES91" s="102"/>
      <c r="ET91" s="102"/>
      <c r="EU91" s="102"/>
      <c r="EV91" s="102"/>
      <c r="EW91" s="102"/>
      <c r="EX91" s="102"/>
      <c r="EY91" s="102"/>
      <c r="EZ91" s="102"/>
      <c r="FA91" s="102"/>
      <c r="FB91" s="102"/>
      <c r="FC91" s="102"/>
      <c r="FD91" s="102"/>
      <c r="FE91" s="102"/>
      <c r="FF91" s="102"/>
      <c r="FG91" s="102"/>
      <c r="FH91" s="102"/>
      <c r="FI91" s="102"/>
      <c r="FJ91" s="102"/>
      <c r="FK91" s="102"/>
      <c r="FL91" s="102"/>
      <c r="FM91" s="102"/>
      <c r="FN91" s="102"/>
      <c r="FO91" s="102"/>
      <c r="FP91" s="102"/>
      <c r="FQ91" s="102"/>
      <c r="FR91" s="102"/>
      <c r="FS91" s="102"/>
      <c r="FT91" s="102"/>
      <c r="FU91" s="102"/>
      <c r="FV91" s="102"/>
      <c r="FW91" s="102"/>
      <c r="FX91" s="102"/>
      <c r="FY91" s="102"/>
      <c r="FZ91" s="102"/>
      <c r="GA91" s="102"/>
      <c r="GB91" s="102"/>
      <c r="GC91" s="102"/>
      <c r="GD91" s="102"/>
      <c r="GE91" s="102"/>
      <c r="GF91" s="102"/>
      <c r="GG91" s="102"/>
      <c r="GH91" s="102"/>
      <c r="GI91" s="102"/>
      <c r="GJ91" s="102"/>
      <c r="GK91" s="102"/>
      <c r="GL91" s="102"/>
      <c r="GM91" s="102"/>
      <c r="GN91" s="102"/>
      <c r="GO91" s="102"/>
      <c r="GP91" s="102"/>
      <c r="GQ91" s="102"/>
      <c r="GR91" s="102"/>
      <c r="GS91" s="102"/>
      <c r="GT91" s="102"/>
      <c r="GU91" s="102"/>
      <c r="GV91" s="102"/>
      <c r="GW91" s="102"/>
      <c r="GX91" s="102"/>
      <c r="GY91" s="102"/>
      <c r="GZ91" s="102"/>
      <c r="HA91" s="102"/>
      <c r="HB91" s="102"/>
      <c r="HC91" s="102"/>
      <c r="HD91" s="102"/>
      <c r="HE91" s="102"/>
      <c r="HF91" s="102"/>
      <c r="HG91" s="102"/>
      <c r="HH91" s="102"/>
      <c r="HI91" s="102"/>
      <c r="HJ91" s="102"/>
      <c r="HK91" s="102"/>
      <c r="HL91" s="102"/>
      <c r="HM91" s="102"/>
      <c r="HN91" s="102"/>
      <c r="HO91" s="102"/>
      <c r="HP91" s="102"/>
      <c r="HQ91" s="102"/>
      <c r="HR91" s="102"/>
      <c r="HS91" s="102"/>
      <c r="HT91" s="102"/>
      <c r="HU91" s="102"/>
      <c r="HV91" s="102"/>
      <c r="HW91" s="102"/>
      <c r="HX91" s="102"/>
      <c r="HY91" s="102"/>
      <c r="HZ91" s="102"/>
      <c r="IA91" s="102"/>
      <c r="IB91" s="102"/>
      <c r="IC91" s="102"/>
      <c r="ID91" s="102"/>
      <c r="IE91" s="102"/>
      <c r="IF91" s="102"/>
      <c r="IG91" s="102"/>
      <c r="IH91" s="102"/>
      <c r="II91" s="102"/>
      <c r="IJ91" s="102"/>
      <c r="IT91" s="233"/>
    </row>
    <row r="92" spans="1:254" ht="104.25" customHeight="1">
      <c r="A92" s="150"/>
      <c r="B92" s="132" t="s">
        <v>197</v>
      </c>
      <c r="C92" s="437" t="s">
        <v>183</v>
      </c>
      <c r="D92" s="133" t="s">
        <v>131</v>
      </c>
      <c r="E92" s="126">
        <v>168.16399999999999</v>
      </c>
      <c r="F92" s="126"/>
      <c r="G92" s="438">
        <v>-168.16399999999999</v>
      </c>
      <c r="H92" s="126">
        <v>0</v>
      </c>
      <c r="I92" s="438" t="s">
        <v>188</v>
      </c>
      <c r="J92" s="126">
        <v>0</v>
      </c>
      <c r="K92" s="438" t="s">
        <v>188</v>
      </c>
      <c r="L92" s="126">
        <v>0</v>
      </c>
      <c r="M92" s="166"/>
      <c r="N92" s="126"/>
      <c r="O92" s="102"/>
      <c r="P92" s="102"/>
      <c r="R92" s="232"/>
      <c r="IT92" s="233"/>
    </row>
    <row r="93" spans="1:254" ht="120.95" customHeight="1" thickBot="1">
      <c r="A93" s="265" t="s">
        <v>289</v>
      </c>
      <c r="B93" s="268"/>
      <c r="C93" s="184"/>
      <c r="D93" s="270"/>
      <c r="E93" s="271"/>
      <c r="F93" s="271"/>
      <c r="G93" s="440"/>
      <c r="H93" s="271"/>
      <c r="I93" s="440"/>
      <c r="J93" s="271"/>
      <c r="K93" s="440"/>
      <c r="L93" s="271"/>
      <c r="M93" s="272"/>
      <c r="N93" s="273"/>
      <c r="O93" s="102"/>
      <c r="P93" s="102"/>
      <c r="R93" s="232"/>
      <c r="IT93" s="233"/>
    </row>
    <row r="94" spans="1:254" ht="30" customHeight="1" thickBot="1">
      <c r="A94" s="265" t="s">
        <v>289</v>
      </c>
      <c r="B94" s="275"/>
      <c r="C94" s="349"/>
      <c r="D94" s="279"/>
      <c r="E94" s="280"/>
      <c r="F94" s="280"/>
      <c r="G94" s="436"/>
      <c r="H94" s="280"/>
      <c r="I94" s="436"/>
      <c r="J94" s="280"/>
      <c r="K94" s="436"/>
      <c r="L94" s="280"/>
      <c r="M94" s="282"/>
      <c r="N94" s="280"/>
      <c r="O94" s="102"/>
      <c r="P94" s="102"/>
      <c r="R94" s="232"/>
      <c r="IT94" s="233"/>
    </row>
    <row r="95" spans="1:254" ht="36" customHeight="1" thickBot="1">
      <c r="A95" s="274" t="s">
        <v>289</v>
      </c>
      <c r="B95" s="487" t="s">
        <v>35</v>
      </c>
      <c r="C95" s="487" t="s">
        <v>36</v>
      </c>
      <c r="D95" s="487" t="s">
        <v>37</v>
      </c>
      <c r="E95" s="487" t="s">
        <v>91</v>
      </c>
      <c r="F95" s="487" t="s">
        <v>18</v>
      </c>
      <c r="G95" s="479" t="s">
        <v>99</v>
      </c>
      <c r="H95" s="481"/>
      <c r="I95" s="481"/>
      <c r="J95" s="481"/>
      <c r="K95" s="481"/>
      <c r="L95" s="481"/>
      <c r="M95" s="481"/>
      <c r="N95" s="482"/>
      <c r="O95" s="229"/>
      <c r="P95" s="229"/>
      <c r="Q95" s="229"/>
      <c r="R95" s="230"/>
    </row>
    <row r="96" spans="1:254" ht="15.75" customHeight="1" thickBot="1">
      <c r="A96" s="274" t="s">
        <v>289</v>
      </c>
      <c r="B96" s="488"/>
      <c r="C96" s="488"/>
      <c r="D96" s="488"/>
      <c r="E96" s="488"/>
      <c r="F96" s="488"/>
      <c r="G96" s="479" t="s">
        <v>260</v>
      </c>
      <c r="H96" s="480"/>
      <c r="I96" s="479" t="s">
        <v>303</v>
      </c>
      <c r="J96" s="480"/>
      <c r="K96" s="479" t="s">
        <v>340</v>
      </c>
      <c r="L96" s="480"/>
      <c r="M96" s="479" t="s">
        <v>259</v>
      </c>
      <c r="N96" s="480"/>
      <c r="R96" s="232"/>
    </row>
    <row r="97" spans="1:254" ht="16.5" thickBot="1">
      <c r="A97" s="274" t="s">
        <v>289</v>
      </c>
      <c r="B97" s="489"/>
      <c r="C97" s="489"/>
      <c r="D97" s="489"/>
      <c r="E97" s="489"/>
      <c r="F97" s="489"/>
      <c r="G97" s="162" t="s">
        <v>187</v>
      </c>
      <c r="H97" s="147" t="s">
        <v>38</v>
      </c>
      <c r="I97" s="162" t="s">
        <v>187</v>
      </c>
      <c r="J97" s="147" t="s">
        <v>38</v>
      </c>
      <c r="K97" s="162" t="s">
        <v>187</v>
      </c>
      <c r="L97" s="147" t="s">
        <v>38</v>
      </c>
      <c r="M97" s="162" t="s">
        <v>187</v>
      </c>
      <c r="N97" s="147" t="s">
        <v>38</v>
      </c>
      <c r="R97" s="232"/>
    </row>
    <row r="98" spans="1:254">
      <c r="A98" s="274" t="s">
        <v>289</v>
      </c>
      <c r="B98" s="163" t="s">
        <v>114</v>
      </c>
      <c r="C98" s="117" t="s">
        <v>115</v>
      </c>
      <c r="D98" s="117" t="s">
        <v>116</v>
      </c>
      <c r="E98" s="117" t="s">
        <v>117</v>
      </c>
      <c r="F98" s="116" t="s">
        <v>118</v>
      </c>
      <c r="G98" s="163" t="s">
        <v>119</v>
      </c>
      <c r="H98" s="113" t="s">
        <v>120</v>
      </c>
      <c r="I98" s="114">
        <v>8</v>
      </c>
      <c r="J98" s="115">
        <v>9</v>
      </c>
      <c r="K98" s="106">
        <v>10</v>
      </c>
      <c r="L98" s="115">
        <v>11</v>
      </c>
      <c r="M98" s="106">
        <v>12</v>
      </c>
      <c r="N98" s="115">
        <v>13</v>
      </c>
      <c r="O98" s="102"/>
      <c r="P98" s="102"/>
      <c r="Q98" s="102"/>
      <c r="R98" s="148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2"/>
      <c r="BY98" s="102"/>
      <c r="BZ98" s="102"/>
      <c r="CA98" s="102"/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2"/>
      <c r="DC98" s="102"/>
      <c r="DD98" s="102"/>
      <c r="DE98" s="102"/>
      <c r="DF98" s="102"/>
      <c r="DG98" s="102"/>
      <c r="DH98" s="102"/>
      <c r="DI98" s="102"/>
      <c r="DJ98" s="102"/>
      <c r="DK98" s="102"/>
      <c r="DL98" s="102"/>
      <c r="DM98" s="102"/>
      <c r="DN98" s="102"/>
      <c r="DO98" s="102"/>
      <c r="DP98" s="102"/>
      <c r="DQ98" s="102"/>
      <c r="DR98" s="102"/>
      <c r="DS98" s="102"/>
      <c r="DT98" s="102"/>
      <c r="DU98" s="102"/>
      <c r="DV98" s="102"/>
      <c r="DW98" s="102"/>
      <c r="DX98" s="102"/>
      <c r="DY98" s="102"/>
      <c r="DZ98" s="102"/>
      <c r="EA98" s="102"/>
      <c r="EB98" s="102"/>
      <c r="EC98" s="102"/>
      <c r="ED98" s="102"/>
      <c r="EE98" s="102"/>
      <c r="EF98" s="102"/>
      <c r="EG98" s="102"/>
      <c r="EH98" s="102"/>
      <c r="EI98" s="102"/>
      <c r="EJ98" s="102"/>
      <c r="EK98" s="102"/>
      <c r="EL98" s="102"/>
      <c r="EM98" s="102"/>
      <c r="EN98" s="102"/>
      <c r="EO98" s="102"/>
      <c r="EP98" s="102"/>
      <c r="EQ98" s="102"/>
      <c r="ER98" s="102"/>
      <c r="ES98" s="102"/>
      <c r="ET98" s="102"/>
      <c r="EU98" s="102"/>
      <c r="EV98" s="102"/>
      <c r="EW98" s="102"/>
      <c r="EX98" s="102"/>
      <c r="EY98" s="102"/>
      <c r="EZ98" s="102"/>
      <c r="FA98" s="102"/>
      <c r="FB98" s="102"/>
      <c r="FC98" s="102"/>
      <c r="FD98" s="102"/>
      <c r="FE98" s="102"/>
      <c r="FF98" s="102"/>
      <c r="FG98" s="102"/>
      <c r="FH98" s="102"/>
      <c r="FI98" s="102"/>
      <c r="FJ98" s="102"/>
      <c r="FK98" s="102"/>
      <c r="FL98" s="102"/>
      <c r="FM98" s="102"/>
      <c r="FN98" s="102"/>
      <c r="FO98" s="102"/>
      <c r="FP98" s="102"/>
      <c r="FQ98" s="102"/>
      <c r="FR98" s="102"/>
      <c r="FS98" s="102"/>
      <c r="FT98" s="102"/>
      <c r="FU98" s="102"/>
      <c r="FV98" s="102"/>
      <c r="FW98" s="102"/>
      <c r="FX98" s="102"/>
      <c r="FY98" s="102"/>
      <c r="FZ98" s="102"/>
      <c r="GA98" s="102"/>
      <c r="GB98" s="102"/>
      <c r="GC98" s="102"/>
      <c r="GD98" s="102"/>
      <c r="GE98" s="102"/>
      <c r="GF98" s="102"/>
      <c r="GG98" s="102"/>
      <c r="GH98" s="102"/>
      <c r="GI98" s="102"/>
      <c r="GJ98" s="102"/>
      <c r="GK98" s="102"/>
      <c r="GL98" s="102"/>
      <c r="GM98" s="102"/>
      <c r="GN98" s="102"/>
      <c r="GO98" s="102"/>
      <c r="GP98" s="102"/>
      <c r="GQ98" s="102"/>
      <c r="GR98" s="102"/>
      <c r="GS98" s="102"/>
      <c r="GT98" s="102"/>
      <c r="GU98" s="102"/>
      <c r="GV98" s="102"/>
      <c r="GW98" s="102"/>
      <c r="GX98" s="102"/>
      <c r="GY98" s="102"/>
      <c r="GZ98" s="102"/>
      <c r="HA98" s="102"/>
      <c r="HB98" s="102"/>
      <c r="HC98" s="102"/>
      <c r="HD98" s="102"/>
      <c r="HE98" s="102"/>
      <c r="HF98" s="102"/>
      <c r="HG98" s="102"/>
      <c r="HH98" s="102"/>
      <c r="HI98" s="102"/>
      <c r="HJ98" s="102"/>
      <c r="HK98" s="102"/>
      <c r="HL98" s="102"/>
      <c r="HM98" s="102"/>
      <c r="HN98" s="102"/>
      <c r="HO98" s="102"/>
      <c r="HP98" s="102"/>
      <c r="HQ98" s="102"/>
      <c r="HR98" s="102"/>
      <c r="HS98" s="102"/>
      <c r="HT98" s="102"/>
      <c r="HU98" s="102"/>
      <c r="HV98" s="102"/>
      <c r="HW98" s="102"/>
      <c r="HX98" s="102"/>
      <c r="HY98" s="102"/>
      <c r="HZ98" s="102"/>
      <c r="IA98" s="102"/>
      <c r="IB98" s="102"/>
      <c r="IC98" s="102"/>
      <c r="ID98" s="102"/>
      <c r="IE98" s="102"/>
      <c r="IF98" s="102"/>
      <c r="IG98" s="102"/>
      <c r="IH98" s="102"/>
      <c r="II98" s="102"/>
      <c r="IJ98" s="102"/>
    </row>
    <row r="99" spans="1:254" ht="47.25">
      <c r="A99" s="150"/>
      <c r="B99" s="129" t="s">
        <v>198</v>
      </c>
      <c r="C99" s="435" t="s">
        <v>275</v>
      </c>
      <c r="D99" s="139" t="s">
        <v>128</v>
      </c>
      <c r="E99" s="181">
        <v>0.60399999999999998</v>
      </c>
      <c r="F99" s="127"/>
      <c r="G99" s="165">
        <v>-0.60399999999999998</v>
      </c>
      <c r="H99" s="181">
        <v>0</v>
      </c>
      <c r="I99" s="165" t="s">
        <v>188</v>
      </c>
      <c r="J99" s="181">
        <v>0</v>
      </c>
      <c r="K99" s="165" t="s">
        <v>188</v>
      </c>
      <c r="L99" s="181">
        <v>0</v>
      </c>
      <c r="M99" s="165"/>
      <c r="N99" s="181"/>
      <c r="O99" s="102"/>
      <c r="P99" s="102"/>
      <c r="R99" s="232"/>
    </row>
    <row r="100" spans="1:254" ht="32.25" thickBot="1">
      <c r="A100" s="150"/>
      <c r="B100" s="341" t="s">
        <v>225</v>
      </c>
      <c r="C100" s="342" t="s">
        <v>224</v>
      </c>
      <c r="D100" s="131"/>
      <c r="E100" s="343">
        <v>0.60399999999999998</v>
      </c>
      <c r="F100" s="327"/>
      <c r="G100" s="328">
        <v>-0.60399999999999998</v>
      </c>
      <c r="H100" s="343">
        <v>0</v>
      </c>
      <c r="I100" s="328" t="s">
        <v>188</v>
      </c>
      <c r="J100" s="343">
        <v>0</v>
      </c>
      <c r="K100" s="328" t="s">
        <v>188</v>
      </c>
      <c r="L100" s="343">
        <v>0</v>
      </c>
      <c r="M100" s="344"/>
      <c r="N100" s="345"/>
      <c r="O100" s="102"/>
      <c r="P100" s="102"/>
      <c r="R100" s="232"/>
    </row>
    <row r="101" spans="1:254" ht="31.5">
      <c r="A101" s="150"/>
      <c r="B101" s="227" t="s">
        <v>4</v>
      </c>
      <c r="C101" s="159" t="s">
        <v>199</v>
      </c>
      <c r="D101" s="336"/>
      <c r="E101" s="336"/>
      <c r="F101" s="337"/>
      <c r="G101" s="338"/>
      <c r="H101" s="336"/>
      <c r="I101" s="338"/>
      <c r="J101" s="336"/>
      <c r="K101" s="339"/>
      <c r="L101" s="340"/>
      <c r="M101" s="339"/>
      <c r="N101" s="340"/>
      <c r="O101" s="102"/>
      <c r="P101" s="102"/>
      <c r="R101" s="232"/>
      <c r="IT101" s="233"/>
    </row>
    <row r="102" spans="1:254" ht="63">
      <c r="A102" s="150"/>
      <c r="B102" s="334" t="s">
        <v>200</v>
      </c>
      <c r="C102" s="335" t="s">
        <v>288</v>
      </c>
      <c r="D102" s="139" t="s">
        <v>128</v>
      </c>
      <c r="E102" s="181">
        <v>6.78</v>
      </c>
      <c r="F102" s="307"/>
      <c r="G102" s="303">
        <v>-6.78</v>
      </c>
      <c r="H102" s="308">
        <v>0</v>
      </c>
      <c r="I102" s="303" t="s">
        <v>188</v>
      </c>
      <c r="J102" s="308">
        <v>0</v>
      </c>
      <c r="K102" s="165" t="s">
        <v>188</v>
      </c>
      <c r="L102" s="181">
        <v>0</v>
      </c>
      <c r="M102" s="165"/>
      <c r="N102" s="181"/>
      <c r="O102" s="102">
        <f>5.920928+0.107604+0.654364+0.056635</f>
        <v>6.7395310000000004</v>
      </c>
      <c r="P102" s="102"/>
      <c r="R102" s="232"/>
      <c r="IT102" s="233"/>
    </row>
    <row r="103" spans="1:254" ht="94.5">
      <c r="A103" s="150"/>
      <c r="B103" s="129" t="s">
        <v>201</v>
      </c>
      <c r="C103" s="180" t="s">
        <v>183</v>
      </c>
      <c r="D103" s="139" t="s">
        <v>131</v>
      </c>
      <c r="E103" s="124">
        <v>306.26299999999998</v>
      </c>
      <c r="F103" s="256"/>
      <c r="G103" s="257">
        <v>-306.26299999999998</v>
      </c>
      <c r="H103" s="256">
        <v>0</v>
      </c>
      <c r="I103" s="257" t="s">
        <v>188</v>
      </c>
      <c r="J103" s="256">
        <v>0</v>
      </c>
      <c r="K103" s="398" t="s">
        <v>188</v>
      </c>
      <c r="L103" s="124">
        <v>0</v>
      </c>
      <c r="M103" s="165"/>
      <c r="N103" s="124"/>
      <c r="O103" s="102"/>
      <c r="P103" s="102"/>
      <c r="R103" s="232"/>
      <c r="IT103" s="233"/>
    </row>
    <row r="104" spans="1:254" ht="47.25">
      <c r="A104" s="150"/>
      <c r="B104" s="154" t="s">
        <v>202</v>
      </c>
      <c r="C104" s="245" t="s">
        <v>276</v>
      </c>
      <c r="D104" s="155" t="s">
        <v>128</v>
      </c>
      <c r="E104" s="246">
        <v>1.5389999999999999</v>
      </c>
      <c r="F104" s="244"/>
      <c r="G104" s="166">
        <v>-1.5389999999999999</v>
      </c>
      <c r="H104" s="246">
        <v>0</v>
      </c>
      <c r="I104" s="166" t="s">
        <v>188</v>
      </c>
      <c r="J104" s="195">
        <v>0</v>
      </c>
      <c r="K104" s="170" t="s">
        <v>188</v>
      </c>
      <c r="L104" s="246">
        <v>0</v>
      </c>
      <c r="M104" s="166"/>
      <c r="N104" s="195"/>
      <c r="O104" s="102"/>
      <c r="P104" s="102"/>
      <c r="R104" s="232"/>
      <c r="IT104" s="233"/>
    </row>
    <row r="105" spans="1:254" ht="31.5">
      <c r="A105" s="150"/>
      <c r="B105" s="132" t="s">
        <v>226</v>
      </c>
      <c r="C105" s="226" t="s">
        <v>224</v>
      </c>
      <c r="D105" s="133"/>
      <c r="E105" s="195">
        <v>1.5389999999999999</v>
      </c>
      <c r="F105" s="406"/>
      <c r="G105" s="165">
        <v>-1.5389999999999999</v>
      </c>
      <c r="H105" s="195">
        <v>0</v>
      </c>
      <c r="I105" s="165" t="s">
        <v>188</v>
      </c>
      <c r="J105" s="181">
        <v>0</v>
      </c>
      <c r="K105" s="166" t="s">
        <v>188</v>
      </c>
      <c r="L105" s="195">
        <v>0</v>
      </c>
      <c r="M105" s="303"/>
      <c r="N105" s="308"/>
      <c r="O105" s="102"/>
      <c r="P105" s="102"/>
      <c r="IT105" s="233"/>
    </row>
    <row r="106" spans="1:254" ht="32.25" thickBot="1">
      <c r="A106" s="150"/>
      <c r="B106" s="240" t="s">
        <v>4</v>
      </c>
      <c r="C106" s="212" t="s">
        <v>267</v>
      </c>
      <c r="D106" s="213"/>
      <c r="E106" s="213"/>
      <c r="F106" s="214"/>
      <c r="G106" s="215"/>
      <c r="H106" s="213"/>
      <c r="I106" s="215"/>
      <c r="J106" s="213"/>
      <c r="K106" s="241"/>
      <c r="L106" s="242"/>
      <c r="M106" s="241"/>
      <c r="N106" s="242"/>
      <c r="O106" s="102"/>
      <c r="P106" s="102"/>
      <c r="IT106" s="233"/>
    </row>
    <row r="107" spans="1:254" ht="63">
      <c r="A107" s="150"/>
      <c r="B107" s="255" t="s">
        <v>229</v>
      </c>
      <c r="C107" s="259" t="s">
        <v>281</v>
      </c>
      <c r="D107" s="260" t="s">
        <v>128</v>
      </c>
      <c r="E107" s="261">
        <v>0.28899999999999998</v>
      </c>
      <c r="F107" s="262"/>
      <c r="G107" s="263">
        <v>7.5999999999999998E-2</v>
      </c>
      <c r="H107" s="264">
        <v>0.36499999999999999</v>
      </c>
      <c r="I107" s="263" t="s">
        <v>188</v>
      </c>
      <c r="J107" s="264">
        <v>0.36499999999999999</v>
      </c>
      <c r="K107" s="288" t="s">
        <v>188</v>
      </c>
      <c r="L107" s="261">
        <v>0.36499999999999999</v>
      </c>
      <c r="M107" s="263"/>
      <c r="N107" s="264"/>
      <c r="O107" s="102">
        <f>(300.9+9.5+55.05)/1000</f>
        <v>0.36545</v>
      </c>
      <c r="P107" s="153">
        <f>O107-E107</f>
        <v>7.6450000000000018E-2</v>
      </c>
      <c r="Q107" s="102"/>
    </row>
    <row r="108" spans="1:254" ht="81" customHeight="1">
      <c r="A108" s="150"/>
      <c r="B108" s="446" t="s">
        <v>232</v>
      </c>
      <c r="C108" s="447" t="s">
        <v>266</v>
      </c>
      <c r="D108" s="131" t="s">
        <v>228</v>
      </c>
      <c r="E108" s="328" t="s">
        <v>236</v>
      </c>
      <c r="F108" s="327"/>
      <c r="G108" s="319" t="s">
        <v>264</v>
      </c>
      <c r="H108" s="413" t="s">
        <v>265</v>
      </c>
      <c r="I108" s="319" t="s">
        <v>207</v>
      </c>
      <c r="J108" s="413" t="s">
        <v>265</v>
      </c>
      <c r="K108" s="445" t="s">
        <v>311</v>
      </c>
      <c r="L108" s="396">
        <v>0</v>
      </c>
      <c r="M108" s="413"/>
      <c r="N108" s="413"/>
      <c r="O108" s="102">
        <f>(1.564*8+1.089*2)*3.05/1000</f>
        <v>4.4804500000000004E-2</v>
      </c>
      <c r="P108" s="102">
        <f>0.25*0.25*0.006*7850*12/1000</f>
        <v>3.5325000000000002E-2</v>
      </c>
      <c r="Q108" s="102">
        <f>P108+O108</f>
        <v>8.0129500000000006E-2</v>
      </c>
      <c r="R108" s="206">
        <f>1.564*8*3.05/1000</f>
        <v>3.8161599999999997E-2</v>
      </c>
      <c r="S108" s="206">
        <f>0.25*0.25*0.006*7850*8/1000</f>
        <v>2.3550000000000001E-2</v>
      </c>
      <c r="T108" s="206">
        <f>S108+R108</f>
        <v>6.1711599999999998E-2</v>
      </c>
      <c r="U108" s="206">
        <f>T108-O108</f>
        <v>1.6907099999999994E-2</v>
      </c>
      <c r="IT108" s="233"/>
    </row>
    <row r="109" spans="1:254" ht="47.25" customHeight="1">
      <c r="A109" s="150"/>
      <c r="B109" s="441" t="s">
        <v>323</v>
      </c>
      <c r="C109" s="442" t="s">
        <v>324</v>
      </c>
      <c r="D109" s="443" t="s">
        <v>211</v>
      </c>
      <c r="E109" s="354">
        <v>0</v>
      </c>
      <c r="F109" s="444"/>
      <c r="G109" s="362" t="s">
        <v>188</v>
      </c>
      <c r="H109" s="354">
        <v>0</v>
      </c>
      <c r="I109" s="362" t="s">
        <v>188</v>
      </c>
      <c r="J109" s="354">
        <v>0</v>
      </c>
      <c r="K109" s="362" t="s">
        <v>325</v>
      </c>
      <c r="L109" s="363" t="s">
        <v>325</v>
      </c>
      <c r="M109" s="218"/>
      <c r="N109" s="218"/>
      <c r="O109" s="102"/>
      <c r="P109" s="102"/>
      <c r="Q109" s="102"/>
      <c r="R109" s="206"/>
      <c r="S109" s="206"/>
      <c r="T109" s="206"/>
      <c r="U109" s="206"/>
      <c r="IT109" s="233"/>
    </row>
    <row r="110" spans="1:254" ht="189.75" customHeight="1" thickBot="1">
      <c r="A110" s="265" t="s">
        <v>289</v>
      </c>
      <c r="B110" s="459"/>
      <c r="C110" s="460"/>
      <c r="D110" s="461"/>
      <c r="E110" s="462"/>
      <c r="F110" s="463"/>
      <c r="G110" s="464"/>
      <c r="H110" s="462"/>
      <c r="I110" s="464"/>
      <c r="J110" s="462"/>
      <c r="K110" s="464"/>
      <c r="L110" s="465"/>
      <c r="M110" s="286"/>
      <c r="N110" s="348"/>
      <c r="O110" s="102"/>
      <c r="P110" s="102"/>
      <c r="Q110" s="102"/>
      <c r="R110" s="206"/>
      <c r="S110" s="206"/>
      <c r="T110" s="206"/>
      <c r="U110" s="206"/>
      <c r="IT110" s="233"/>
    </row>
    <row r="111" spans="1:254" ht="30" customHeight="1" thickBot="1">
      <c r="A111" s="265" t="s">
        <v>289</v>
      </c>
      <c r="B111" s="467"/>
      <c r="C111" s="466"/>
      <c r="D111" s="467"/>
      <c r="E111" s="468"/>
      <c r="F111" s="469"/>
      <c r="G111" s="470"/>
      <c r="H111" s="468"/>
      <c r="I111" s="470"/>
      <c r="J111" s="468"/>
      <c r="K111" s="470"/>
      <c r="L111" s="471"/>
      <c r="M111" s="287"/>
      <c r="N111" s="287"/>
      <c r="O111" s="102"/>
      <c r="P111" s="102"/>
      <c r="Q111" s="102"/>
      <c r="R111" s="206"/>
      <c r="S111" s="206"/>
      <c r="T111" s="206"/>
      <c r="U111" s="206"/>
      <c r="IT111" s="233"/>
    </row>
    <row r="112" spans="1:254" ht="36" customHeight="1" thickBot="1">
      <c r="A112" s="274" t="s">
        <v>289</v>
      </c>
      <c r="B112" s="487" t="s">
        <v>35</v>
      </c>
      <c r="C112" s="487" t="s">
        <v>36</v>
      </c>
      <c r="D112" s="487" t="s">
        <v>37</v>
      </c>
      <c r="E112" s="487" t="s">
        <v>91</v>
      </c>
      <c r="F112" s="487" t="s">
        <v>18</v>
      </c>
      <c r="G112" s="479" t="s">
        <v>99</v>
      </c>
      <c r="H112" s="481"/>
      <c r="I112" s="481"/>
      <c r="J112" s="481"/>
      <c r="K112" s="481"/>
      <c r="L112" s="481"/>
      <c r="M112" s="481"/>
      <c r="N112" s="482"/>
      <c r="O112" s="229"/>
      <c r="P112" s="229"/>
      <c r="Q112" s="229"/>
      <c r="R112" s="230"/>
    </row>
    <row r="113" spans="1:254" ht="15.75" customHeight="1" thickBot="1">
      <c r="A113" s="274" t="s">
        <v>289</v>
      </c>
      <c r="B113" s="488"/>
      <c r="C113" s="488"/>
      <c r="D113" s="488"/>
      <c r="E113" s="488"/>
      <c r="F113" s="488"/>
      <c r="G113" s="479" t="s">
        <v>260</v>
      </c>
      <c r="H113" s="480"/>
      <c r="I113" s="479" t="s">
        <v>303</v>
      </c>
      <c r="J113" s="480"/>
      <c r="K113" s="479" t="s">
        <v>340</v>
      </c>
      <c r="L113" s="480"/>
      <c r="M113" s="479" t="s">
        <v>259</v>
      </c>
      <c r="N113" s="480"/>
      <c r="R113" s="232"/>
    </row>
    <row r="114" spans="1:254" ht="16.5" thickBot="1">
      <c r="A114" s="274" t="s">
        <v>289</v>
      </c>
      <c r="B114" s="489"/>
      <c r="C114" s="489"/>
      <c r="D114" s="489"/>
      <c r="E114" s="489"/>
      <c r="F114" s="489"/>
      <c r="G114" s="162" t="s">
        <v>187</v>
      </c>
      <c r="H114" s="147" t="s">
        <v>38</v>
      </c>
      <c r="I114" s="162" t="s">
        <v>187</v>
      </c>
      <c r="J114" s="147" t="s">
        <v>38</v>
      </c>
      <c r="K114" s="162" t="s">
        <v>187</v>
      </c>
      <c r="L114" s="147" t="s">
        <v>38</v>
      </c>
      <c r="M114" s="162" t="s">
        <v>187</v>
      </c>
      <c r="N114" s="147" t="s">
        <v>38</v>
      </c>
      <c r="R114" s="232"/>
    </row>
    <row r="115" spans="1:254">
      <c r="A115" s="274" t="s">
        <v>289</v>
      </c>
      <c r="B115" s="163" t="s">
        <v>114</v>
      </c>
      <c r="C115" s="117" t="s">
        <v>115</v>
      </c>
      <c r="D115" s="117" t="s">
        <v>116</v>
      </c>
      <c r="E115" s="117" t="s">
        <v>117</v>
      </c>
      <c r="F115" s="116" t="s">
        <v>118</v>
      </c>
      <c r="G115" s="163" t="s">
        <v>119</v>
      </c>
      <c r="H115" s="113" t="s">
        <v>120</v>
      </c>
      <c r="I115" s="114">
        <v>8</v>
      </c>
      <c r="J115" s="115">
        <v>9</v>
      </c>
      <c r="K115" s="106">
        <v>10</v>
      </c>
      <c r="L115" s="115">
        <v>11</v>
      </c>
      <c r="M115" s="106">
        <v>12</v>
      </c>
      <c r="N115" s="115">
        <v>13</v>
      </c>
      <c r="O115" s="102"/>
      <c r="P115" s="102"/>
      <c r="Q115" s="102"/>
      <c r="R115" s="148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  <c r="BB115" s="102"/>
      <c r="BC115" s="102"/>
      <c r="BD115" s="102"/>
      <c r="BE115" s="102"/>
      <c r="BF115" s="102"/>
      <c r="BG115" s="102"/>
      <c r="BH115" s="102"/>
      <c r="BI115" s="102"/>
      <c r="BJ115" s="102"/>
      <c r="BK115" s="102"/>
      <c r="BL115" s="102"/>
      <c r="BM115" s="102"/>
      <c r="BN115" s="102"/>
      <c r="BO115" s="102"/>
      <c r="BP115" s="102"/>
      <c r="BQ115" s="102"/>
      <c r="BR115" s="102"/>
      <c r="BS115" s="102"/>
      <c r="BT115" s="102"/>
      <c r="BU115" s="102"/>
      <c r="BV115" s="102"/>
      <c r="BW115" s="102"/>
      <c r="BX115" s="102"/>
      <c r="BY115" s="102"/>
      <c r="BZ115" s="102"/>
      <c r="CA115" s="102"/>
      <c r="CB115" s="102"/>
      <c r="CC115" s="102"/>
      <c r="CD115" s="102"/>
      <c r="CE115" s="102"/>
      <c r="CF115" s="102"/>
      <c r="CG115" s="102"/>
      <c r="CH115" s="102"/>
      <c r="CI115" s="102"/>
      <c r="CJ115" s="102"/>
      <c r="CK115" s="102"/>
      <c r="CL115" s="102"/>
      <c r="CM115" s="102"/>
      <c r="CN115" s="102"/>
      <c r="CO115" s="102"/>
      <c r="CP115" s="102"/>
      <c r="CQ115" s="102"/>
      <c r="CR115" s="102"/>
      <c r="CS115" s="102"/>
      <c r="CT115" s="102"/>
      <c r="CU115" s="102"/>
      <c r="CV115" s="102"/>
      <c r="CW115" s="102"/>
      <c r="CX115" s="102"/>
      <c r="CY115" s="102"/>
      <c r="CZ115" s="102"/>
      <c r="DA115" s="102"/>
      <c r="DB115" s="102"/>
      <c r="DC115" s="102"/>
      <c r="DD115" s="102"/>
      <c r="DE115" s="102"/>
      <c r="DF115" s="102"/>
      <c r="DG115" s="102"/>
      <c r="DH115" s="102"/>
      <c r="DI115" s="102"/>
      <c r="DJ115" s="102"/>
      <c r="DK115" s="102"/>
      <c r="DL115" s="102"/>
      <c r="DM115" s="102"/>
      <c r="DN115" s="102"/>
      <c r="DO115" s="102"/>
      <c r="DP115" s="102"/>
      <c r="DQ115" s="102"/>
      <c r="DR115" s="102"/>
      <c r="DS115" s="102"/>
      <c r="DT115" s="102"/>
      <c r="DU115" s="102"/>
      <c r="DV115" s="102"/>
      <c r="DW115" s="102"/>
      <c r="DX115" s="102"/>
      <c r="DY115" s="102"/>
      <c r="DZ115" s="102"/>
      <c r="EA115" s="102"/>
      <c r="EB115" s="102"/>
      <c r="EC115" s="102"/>
      <c r="ED115" s="102"/>
      <c r="EE115" s="102"/>
      <c r="EF115" s="102"/>
      <c r="EG115" s="102"/>
      <c r="EH115" s="102"/>
      <c r="EI115" s="102"/>
      <c r="EJ115" s="102"/>
      <c r="EK115" s="102"/>
      <c r="EL115" s="102"/>
      <c r="EM115" s="102"/>
      <c r="EN115" s="102"/>
      <c r="EO115" s="102"/>
      <c r="EP115" s="102"/>
      <c r="EQ115" s="102"/>
      <c r="ER115" s="102"/>
      <c r="ES115" s="102"/>
      <c r="ET115" s="102"/>
      <c r="EU115" s="102"/>
      <c r="EV115" s="102"/>
      <c r="EW115" s="102"/>
      <c r="EX115" s="102"/>
      <c r="EY115" s="102"/>
      <c r="EZ115" s="102"/>
      <c r="FA115" s="102"/>
      <c r="FB115" s="102"/>
      <c r="FC115" s="102"/>
      <c r="FD115" s="102"/>
      <c r="FE115" s="102"/>
      <c r="FF115" s="102"/>
      <c r="FG115" s="102"/>
      <c r="FH115" s="102"/>
      <c r="FI115" s="102"/>
      <c r="FJ115" s="102"/>
      <c r="FK115" s="102"/>
      <c r="FL115" s="102"/>
      <c r="FM115" s="102"/>
      <c r="FN115" s="102"/>
      <c r="FO115" s="102"/>
      <c r="FP115" s="102"/>
      <c r="FQ115" s="102"/>
      <c r="FR115" s="102"/>
      <c r="FS115" s="102"/>
      <c r="FT115" s="102"/>
      <c r="FU115" s="102"/>
      <c r="FV115" s="102"/>
      <c r="FW115" s="102"/>
      <c r="FX115" s="102"/>
      <c r="FY115" s="102"/>
      <c r="FZ115" s="102"/>
      <c r="GA115" s="102"/>
      <c r="GB115" s="102"/>
      <c r="GC115" s="102"/>
      <c r="GD115" s="102"/>
      <c r="GE115" s="102"/>
      <c r="GF115" s="102"/>
      <c r="GG115" s="102"/>
      <c r="GH115" s="102"/>
      <c r="GI115" s="102"/>
      <c r="GJ115" s="102"/>
      <c r="GK115" s="102"/>
      <c r="GL115" s="102"/>
      <c r="GM115" s="102"/>
      <c r="GN115" s="102"/>
      <c r="GO115" s="102"/>
      <c r="GP115" s="102"/>
      <c r="GQ115" s="102"/>
      <c r="GR115" s="102"/>
      <c r="GS115" s="102"/>
      <c r="GT115" s="102"/>
      <c r="GU115" s="102"/>
      <c r="GV115" s="102"/>
      <c r="GW115" s="102"/>
      <c r="GX115" s="102"/>
      <c r="GY115" s="102"/>
      <c r="GZ115" s="102"/>
      <c r="HA115" s="102"/>
      <c r="HB115" s="102"/>
      <c r="HC115" s="102"/>
      <c r="HD115" s="102"/>
      <c r="HE115" s="102"/>
      <c r="HF115" s="102"/>
      <c r="HG115" s="102"/>
      <c r="HH115" s="102"/>
      <c r="HI115" s="102"/>
      <c r="HJ115" s="102"/>
      <c r="HK115" s="102"/>
      <c r="HL115" s="102"/>
      <c r="HM115" s="102"/>
      <c r="HN115" s="102"/>
      <c r="HO115" s="102"/>
      <c r="HP115" s="102"/>
      <c r="HQ115" s="102"/>
      <c r="HR115" s="102"/>
      <c r="HS115" s="102"/>
      <c r="HT115" s="102"/>
      <c r="HU115" s="102"/>
      <c r="HV115" s="102"/>
      <c r="HW115" s="102"/>
      <c r="HX115" s="102"/>
      <c r="HY115" s="102"/>
      <c r="HZ115" s="102"/>
      <c r="IA115" s="102"/>
      <c r="IB115" s="102"/>
      <c r="IC115" s="102"/>
      <c r="ID115" s="102"/>
      <c r="IE115" s="102"/>
      <c r="IF115" s="102"/>
      <c r="IG115" s="102"/>
      <c r="IH115" s="102"/>
      <c r="II115" s="102"/>
      <c r="IJ115" s="102"/>
    </row>
    <row r="116" spans="1:254" ht="158.25" customHeight="1">
      <c r="A116" s="150"/>
      <c r="B116" s="254" t="s">
        <v>233</v>
      </c>
      <c r="C116" s="258" t="s">
        <v>183</v>
      </c>
      <c r="D116" s="139" t="s">
        <v>131</v>
      </c>
      <c r="E116" s="124">
        <v>24.8</v>
      </c>
      <c r="F116" s="124"/>
      <c r="G116" s="198">
        <v>1.417</v>
      </c>
      <c r="H116" s="198">
        <v>26.216999999999999</v>
      </c>
      <c r="I116" s="198" t="s">
        <v>188</v>
      </c>
      <c r="J116" s="198">
        <v>26.216999999999999</v>
      </c>
      <c r="K116" s="384">
        <v>1.0209999999999999</v>
      </c>
      <c r="L116" s="351">
        <v>27.238</v>
      </c>
      <c r="M116" s="198"/>
      <c r="N116" s="198"/>
      <c r="O116" s="206">
        <f>0.3009*65+0.0448*65+0.0095*86.5+0.0353*42.7</f>
        <v>24.79956</v>
      </c>
      <c r="P116" s="206">
        <f>0.3009*65+0.03816*65+0.0095*86.5+0.02355*42.7+42.7*0.05505</f>
        <v>26.21687</v>
      </c>
      <c r="Q116" s="206">
        <f>P116-O116</f>
        <v>1.4173100000000005</v>
      </c>
      <c r="R116" s="206"/>
      <c r="S116" s="206"/>
      <c r="T116" s="206"/>
      <c r="U116" s="206"/>
    </row>
    <row r="117" spans="1:254">
      <c r="A117" s="150"/>
      <c r="B117" s="243" t="s">
        <v>234</v>
      </c>
      <c r="C117" s="130" t="s">
        <v>230</v>
      </c>
      <c r="D117" s="155" t="s">
        <v>227</v>
      </c>
      <c r="E117" s="223">
        <v>48</v>
      </c>
      <c r="F117" s="224"/>
      <c r="G117" s="200">
        <v>-16</v>
      </c>
      <c r="H117" s="200">
        <v>32</v>
      </c>
      <c r="I117" s="200" t="s">
        <v>188</v>
      </c>
      <c r="J117" s="200">
        <v>32</v>
      </c>
      <c r="K117" s="385">
        <v>4</v>
      </c>
      <c r="L117" s="386">
        <v>36</v>
      </c>
      <c r="M117" s="200"/>
      <c r="N117" s="200"/>
      <c r="O117" s="206">
        <f>12*4</f>
        <v>48</v>
      </c>
      <c r="P117" s="206">
        <f>4*4</f>
        <v>16</v>
      </c>
      <c r="Q117" s="206">
        <f>P117-E117</f>
        <v>-32</v>
      </c>
      <c r="R117" s="206"/>
      <c r="S117" s="206"/>
    </row>
    <row r="118" spans="1:254">
      <c r="A118" s="150"/>
      <c r="B118" s="304" t="s">
        <v>235</v>
      </c>
      <c r="C118" s="157" t="s">
        <v>231</v>
      </c>
      <c r="D118" s="131" t="s">
        <v>228</v>
      </c>
      <c r="E118" s="316" t="s">
        <v>237</v>
      </c>
      <c r="F118" s="317"/>
      <c r="G118" s="318" t="s">
        <v>262</v>
      </c>
      <c r="H118" s="318" t="s">
        <v>263</v>
      </c>
      <c r="I118" s="319" t="s">
        <v>207</v>
      </c>
      <c r="J118" s="318" t="s">
        <v>263</v>
      </c>
      <c r="K118" s="387" t="s">
        <v>326</v>
      </c>
      <c r="L118" s="388" t="s">
        <v>327</v>
      </c>
      <c r="M118" s="318"/>
      <c r="N118" s="318"/>
      <c r="O118" s="206">
        <f>0.13*4*12/1000</f>
        <v>6.2399999999999999E-3</v>
      </c>
      <c r="P118" s="206">
        <f>0.13*4*8/1000</f>
        <v>4.1600000000000005E-3</v>
      </c>
      <c r="Q118" s="206">
        <f>P118-O118</f>
        <v>-2.0799999999999994E-3</v>
      </c>
      <c r="R118" s="206"/>
      <c r="S118" s="206"/>
    </row>
    <row r="119" spans="1:254" ht="47.25">
      <c r="A119" s="150"/>
      <c r="B119" s="243"/>
      <c r="C119" s="305" t="s">
        <v>291</v>
      </c>
      <c r="D119" s="311"/>
      <c r="E119" s="311"/>
      <c r="F119" s="312"/>
      <c r="G119" s="313"/>
      <c r="H119" s="311"/>
      <c r="I119" s="313"/>
      <c r="J119" s="311"/>
      <c r="K119" s="314"/>
      <c r="L119" s="315"/>
      <c r="M119" s="314"/>
      <c r="N119" s="315"/>
      <c r="O119" s="206"/>
      <c r="P119" s="206"/>
      <c r="Q119" s="206"/>
      <c r="R119" s="206"/>
      <c r="S119" s="206"/>
      <c r="IT119" s="233"/>
    </row>
    <row r="120" spans="1:254" ht="316.5" customHeight="1">
      <c r="A120" s="150"/>
      <c r="B120" s="389" t="s">
        <v>283</v>
      </c>
      <c r="C120" s="450" t="s">
        <v>292</v>
      </c>
      <c r="D120" s="131" t="s">
        <v>128</v>
      </c>
      <c r="E120" s="343">
        <v>8.9979999999999993</v>
      </c>
      <c r="F120" s="244"/>
      <c r="G120" s="309">
        <v>8.9979999999999993</v>
      </c>
      <c r="H120" s="310">
        <v>8.9979999999999993</v>
      </c>
      <c r="I120" s="309" t="s">
        <v>188</v>
      </c>
      <c r="J120" s="310">
        <v>8.9979999999999993</v>
      </c>
      <c r="K120" s="392">
        <v>-8.9979999999999993</v>
      </c>
      <c r="L120" s="365">
        <v>0</v>
      </c>
      <c r="M120" s="328"/>
      <c r="N120" s="246"/>
      <c r="O120" s="102">
        <f>3.015+0.205+1.284+1.236+0.053+0.009+0.507+0.002+0.016+0.017+0.944+0.132+0.426+0.121+0.177+0.576+0.062+0.216</f>
        <v>8.9979999999999993</v>
      </c>
      <c r="P120" s="102">
        <f>O120+O129</f>
        <v>9.6120000000000001</v>
      </c>
      <c r="IT120" s="233"/>
    </row>
    <row r="121" spans="1:254" ht="35.25" customHeight="1">
      <c r="A121" s="150"/>
      <c r="B121" s="407" t="s">
        <v>283</v>
      </c>
      <c r="C121" s="408" t="s">
        <v>328</v>
      </c>
      <c r="D121" s="133" t="s">
        <v>128</v>
      </c>
      <c r="E121" s="361">
        <v>0</v>
      </c>
      <c r="F121" s="406"/>
      <c r="G121" s="166" t="s">
        <v>188</v>
      </c>
      <c r="H121" s="361">
        <v>0</v>
      </c>
      <c r="I121" s="166" t="s">
        <v>188</v>
      </c>
      <c r="J121" s="361">
        <v>0</v>
      </c>
      <c r="K121" s="354">
        <v>14.84</v>
      </c>
      <c r="L121" s="448">
        <v>14.84</v>
      </c>
      <c r="M121" s="166"/>
      <c r="N121" s="195"/>
      <c r="O121" s="102"/>
      <c r="P121" s="102"/>
      <c r="IT121" s="233" t="s">
        <v>338</v>
      </c>
    </row>
    <row r="122" spans="1:254" ht="173.1" customHeight="1" thickBot="1">
      <c r="A122" s="265" t="s">
        <v>289</v>
      </c>
      <c r="B122" s="346"/>
      <c r="C122" s="451"/>
      <c r="D122" s="270"/>
      <c r="E122" s="452"/>
      <c r="F122" s="284"/>
      <c r="G122" s="272"/>
      <c r="H122" s="452"/>
      <c r="I122" s="272"/>
      <c r="J122" s="452"/>
      <c r="K122" s="462"/>
      <c r="L122" s="472"/>
      <c r="M122" s="272"/>
      <c r="N122" s="453"/>
      <c r="O122" s="102"/>
      <c r="P122" s="102"/>
      <c r="IT122" s="233"/>
    </row>
    <row r="123" spans="1:254" ht="30" customHeight="1" thickBot="1">
      <c r="A123" s="265" t="s">
        <v>289</v>
      </c>
      <c r="B123" s="347"/>
      <c r="C123" s="439"/>
      <c r="D123" s="279"/>
      <c r="E123" s="454"/>
      <c r="F123" s="285"/>
      <c r="G123" s="282"/>
      <c r="H123" s="454"/>
      <c r="I123" s="282"/>
      <c r="J123" s="454"/>
      <c r="K123" s="468"/>
      <c r="L123" s="473"/>
      <c r="M123" s="282"/>
      <c r="N123" s="455"/>
      <c r="O123" s="102"/>
      <c r="P123" s="102"/>
      <c r="IT123" s="233"/>
    </row>
    <row r="124" spans="1:254" ht="36" customHeight="1" thickBot="1">
      <c r="A124" s="274" t="s">
        <v>289</v>
      </c>
      <c r="B124" s="487" t="s">
        <v>35</v>
      </c>
      <c r="C124" s="487" t="s">
        <v>36</v>
      </c>
      <c r="D124" s="487" t="s">
        <v>37</v>
      </c>
      <c r="E124" s="487" t="s">
        <v>91</v>
      </c>
      <c r="F124" s="487" t="s">
        <v>18</v>
      </c>
      <c r="G124" s="479" t="s">
        <v>99</v>
      </c>
      <c r="H124" s="481"/>
      <c r="I124" s="481"/>
      <c r="J124" s="481"/>
      <c r="K124" s="481"/>
      <c r="L124" s="481"/>
      <c r="M124" s="481"/>
      <c r="N124" s="482"/>
      <c r="O124" s="229"/>
      <c r="P124" s="229"/>
      <c r="Q124" s="229"/>
      <c r="R124" s="230"/>
    </row>
    <row r="125" spans="1:254" ht="15.75" customHeight="1" thickBot="1">
      <c r="A125" s="274" t="s">
        <v>289</v>
      </c>
      <c r="B125" s="488"/>
      <c r="C125" s="488"/>
      <c r="D125" s="488"/>
      <c r="E125" s="488"/>
      <c r="F125" s="488"/>
      <c r="G125" s="479" t="s">
        <v>260</v>
      </c>
      <c r="H125" s="480"/>
      <c r="I125" s="479" t="s">
        <v>303</v>
      </c>
      <c r="J125" s="480"/>
      <c r="K125" s="479" t="s">
        <v>340</v>
      </c>
      <c r="L125" s="480"/>
      <c r="M125" s="479" t="s">
        <v>259</v>
      </c>
      <c r="N125" s="480"/>
      <c r="R125" s="232"/>
    </row>
    <row r="126" spans="1:254" ht="16.5" thickBot="1">
      <c r="A126" s="274" t="s">
        <v>289</v>
      </c>
      <c r="B126" s="489"/>
      <c r="C126" s="489"/>
      <c r="D126" s="489"/>
      <c r="E126" s="489"/>
      <c r="F126" s="489"/>
      <c r="G126" s="162" t="s">
        <v>187</v>
      </c>
      <c r="H126" s="147" t="s">
        <v>38</v>
      </c>
      <c r="I126" s="162" t="s">
        <v>187</v>
      </c>
      <c r="J126" s="147" t="s">
        <v>38</v>
      </c>
      <c r="K126" s="162" t="s">
        <v>187</v>
      </c>
      <c r="L126" s="147" t="s">
        <v>38</v>
      </c>
      <c r="M126" s="162" t="s">
        <v>187</v>
      </c>
      <c r="N126" s="147" t="s">
        <v>38</v>
      </c>
      <c r="R126" s="232"/>
    </row>
    <row r="127" spans="1:254">
      <c r="A127" s="274" t="s">
        <v>289</v>
      </c>
      <c r="B127" s="163" t="s">
        <v>114</v>
      </c>
      <c r="C127" s="117" t="s">
        <v>115</v>
      </c>
      <c r="D127" s="117" t="s">
        <v>116</v>
      </c>
      <c r="E127" s="117" t="s">
        <v>117</v>
      </c>
      <c r="F127" s="116" t="s">
        <v>118</v>
      </c>
      <c r="G127" s="163" t="s">
        <v>119</v>
      </c>
      <c r="H127" s="113" t="s">
        <v>120</v>
      </c>
      <c r="I127" s="114">
        <v>8</v>
      </c>
      <c r="J127" s="115">
        <v>9</v>
      </c>
      <c r="K127" s="106">
        <v>10</v>
      </c>
      <c r="L127" s="115">
        <v>11</v>
      </c>
      <c r="M127" s="106">
        <v>12</v>
      </c>
      <c r="N127" s="115">
        <v>13</v>
      </c>
      <c r="O127" s="102"/>
      <c r="P127" s="102"/>
      <c r="Q127" s="102"/>
      <c r="R127" s="148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  <c r="AW127" s="102"/>
      <c r="AX127" s="102"/>
      <c r="AY127" s="102"/>
      <c r="AZ127" s="102"/>
      <c r="BA127" s="102"/>
      <c r="BB127" s="102"/>
      <c r="BC127" s="102"/>
      <c r="BD127" s="102"/>
      <c r="BE127" s="102"/>
      <c r="BF127" s="102"/>
      <c r="BG127" s="102"/>
      <c r="BH127" s="102"/>
      <c r="BI127" s="102"/>
      <c r="BJ127" s="102"/>
      <c r="BK127" s="102"/>
      <c r="BL127" s="102"/>
      <c r="BM127" s="102"/>
      <c r="BN127" s="102"/>
      <c r="BO127" s="102"/>
      <c r="BP127" s="102"/>
      <c r="BQ127" s="102"/>
      <c r="BR127" s="102"/>
      <c r="BS127" s="102"/>
      <c r="BT127" s="102"/>
      <c r="BU127" s="102"/>
      <c r="BV127" s="102"/>
      <c r="BW127" s="102"/>
      <c r="BX127" s="102"/>
      <c r="BY127" s="102"/>
      <c r="BZ127" s="102"/>
      <c r="CA127" s="102"/>
      <c r="CB127" s="102"/>
      <c r="CC127" s="102"/>
      <c r="CD127" s="102"/>
      <c r="CE127" s="102"/>
      <c r="CF127" s="102"/>
      <c r="CG127" s="102"/>
      <c r="CH127" s="102"/>
      <c r="CI127" s="102"/>
      <c r="CJ127" s="102"/>
      <c r="CK127" s="102"/>
      <c r="CL127" s="102"/>
      <c r="CM127" s="102"/>
      <c r="CN127" s="102"/>
      <c r="CO127" s="102"/>
      <c r="CP127" s="102"/>
      <c r="CQ127" s="102"/>
      <c r="CR127" s="102"/>
      <c r="CS127" s="102"/>
      <c r="CT127" s="102"/>
      <c r="CU127" s="102"/>
      <c r="CV127" s="102"/>
      <c r="CW127" s="102"/>
      <c r="CX127" s="102"/>
      <c r="CY127" s="102"/>
      <c r="CZ127" s="102"/>
      <c r="DA127" s="102"/>
      <c r="DB127" s="102"/>
      <c r="DC127" s="102"/>
      <c r="DD127" s="102"/>
      <c r="DE127" s="102"/>
      <c r="DF127" s="102"/>
      <c r="DG127" s="102"/>
      <c r="DH127" s="102"/>
      <c r="DI127" s="102"/>
      <c r="DJ127" s="102"/>
      <c r="DK127" s="102"/>
      <c r="DL127" s="102"/>
      <c r="DM127" s="102"/>
      <c r="DN127" s="102"/>
      <c r="DO127" s="102"/>
      <c r="DP127" s="102"/>
      <c r="DQ127" s="102"/>
      <c r="DR127" s="102"/>
      <c r="DS127" s="102"/>
      <c r="DT127" s="102"/>
      <c r="DU127" s="102"/>
      <c r="DV127" s="102"/>
      <c r="DW127" s="102"/>
      <c r="DX127" s="102"/>
      <c r="DY127" s="102"/>
      <c r="DZ127" s="102"/>
      <c r="EA127" s="102"/>
      <c r="EB127" s="102"/>
      <c r="EC127" s="102"/>
      <c r="ED127" s="102"/>
      <c r="EE127" s="102"/>
      <c r="EF127" s="102"/>
      <c r="EG127" s="102"/>
      <c r="EH127" s="102"/>
      <c r="EI127" s="102"/>
      <c r="EJ127" s="102"/>
      <c r="EK127" s="102"/>
      <c r="EL127" s="102"/>
      <c r="EM127" s="102"/>
      <c r="EN127" s="102"/>
      <c r="EO127" s="102"/>
      <c r="EP127" s="102"/>
      <c r="EQ127" s="102"/>
      <c r="ER127" s="102"/>
      <c r="ES127" s="102"/>
      <c r="ET127" s="102"/>
      <c r="EU127" s="102"/>
      <c r="EV127" s="102"/>
      <c r="EW127" s="102"/>
      <c r="EX127" s="102"/>
      <c r="EY127" s="102"/>
      <c r="EZ127" s="102"/>
      <c r="FA127" s="102"/>
      <c r="FB127" s="102"/>
      <c r="FC127" s="102"/>
      <c r="FD127" s="102"/>
      <c r="FE127" s="102"/>
      <c r="FF127" s="102"/>
      <c r="FG127" s="102"/>
      <c r="FH127" s="102"/>
      <c r="FI127" s="102"/>
      <c r="FJ127" s="102"/>
      <c r="FK127" s="102"/>
      <c r="FL127" s="102"/>
      <c r="FM127" s="102"/>
      <c r="FN127" s="102"/>
      <c r="FO127" s="102"/>
      <c r="FP127" s="102"/>
      <c r="FQ127" s="102"/>
      <c r="FR127" s="102"/>
      <c r="FS127" s="102"/>
      <c r="FT127" s="102"/>
      <c r="FU127" s="102"/>
      <c r="FV127" s="102"/>
      <c r="FW127" s="102"/>
      <c r="FX127" s="102"/>
      <c r="FY127" s="102"/>
      <c r="FZ127" s="102"/>
      <c r="GA127" s="102"/>
      <c r="GB127" s="102"/>
      <c r="GC127" s="102"/>
      <c r="GD127" s="102"/>
      <c r="GE127" s="102"/>
      <c r="GF127" s="102"/>
      <c r="GG127" s="102"/>
      <c r="GH127" s="102"/>
      <c r="GI127" s="102"/>
      <c r="GJ127" s="102"/>
      <c r="GK127" s="102"/>
      <c r="GL127" s="102"/>
      <c r="GM127" s="102"/>
      <c r="GN127" s="102"/>
      <c r="GO127" s="102"/>
      <c r="GP127" s="102"/>
      <c r="GQ127" s="102"/>
      <c r="GR127" s="102"/>
      <c r="GS127" s="102"/>
      <c r="GT127" s="102"/>
      <c r="GU127" s="102"/>
      <c r="GV127" s="102"/>
      <c r="GW127" s="102"/>
      <c r="GX127" s="102"/>
      <c r="GY127" s="102"/>
      <c r="GZ127" s="102"/>
      <c r="HA127" s="102"/>
      <c r="HB127" s="102"/>
      <c r="HC127" s="102"/>
      <c r="HD127" s="102"/>
      <c r="HE127" s="102"/>
      <c r="HF127" s="102"/>
      <c r="HG127" s="102"/>
      <c r="HH127" s="102"/>
      <c r="HI127" s="102"/>
      <c r="HJ127" s="102"/>
      <c r="HK127" s="102"/>
      <c r="HL127" s="102"/>
      <c r="HM127" s="102"/>
      <c r="HN127" s="102"/>
      <c r="HO127" s="102"/>
      <c r="HP127" s="102"/>
      <c r="HQ127" s="102"/>
      <c r="HR127" s="102"/>
      <c r="HS127" s="102"/>
      <c r="HT127" s="102"/>
      <c r="HU127" s="102"/>
      <c r="HV127" s="102"/>
      <c r="HW127" s="102"/>
      <c r="HX127" s="102"/>
      <c r="HY127" s="102"/>
      <c r="HZ127" s="102"/>
      <c r="IA127" s="102"/>
      <c r="IB127" s="102"/>
      <c r="IC127" s="102"/>
      <c r="ID127" s="102"/>
      <c r="IE127" s="102"/>
      <c r="IF127" s="102"/>
      <c r="IG127" s="102"/>
      <c r="IH127" s="102"/>
      <c r="II127" s="102"/>
      <c r="IJ127" s="102"/>
    </row>
    <row r="128" spans="1:254" ht="94.5">
      <c r="A128" s="150"/>
      <c r="B128" s="129" t="s">
        <v>284</v>
      </c>
      <c r="C128" s="449" t="s">
        <v>183</v>
      </c>
      <c r="D128" s="139" t="s">
        <v>131</v>
      </c>
      <c r="E128" s="124">
        <v>338.75299999999999</v>
      </c>
      <c r="F128" s="256"/>
      <c r="G128" s="303">
        <v>338.75299999999999</v>
      </c>
      <c r="H128" s="256">
        <v>338.75299999999999</v>
      </c>
      <c r="I128" s="303" t="s">
        <v>188</v>
      </c>
      <c r="J128" s="256">
        <v>338.75299999999999</v>
      </c>
      <c r="K128" s="384">
        <v>14.807</v>
      </c>
      <c r="L128" s="390">
        <v>353.56</v>
      </c>
      <c r="M128" s="165"/>
      <c r="N128" s="124"/>
      <c r="O128" s="102">
        <f>3.015*38.9+0.205*38.3+1.284*40.5+0.053*32.1+0.009*42.7+0.507*63.9+0.002*127.6+0.016*33+0.944*44+0.132*52+0.426*52+0.121*86.5+0.177*28.3+0.576*42.5+0.062*32.9+0.216*63.9</f>
        <v>338.75289999999995</v>
      </c>
      <c r="P128" s="102"/>
      <c r="IT128" s="233"/>
    </row>
    <row r="129" spans="1:254" ht="31.5">
      <c r="A129" s="150"/>
      <c r="B129" s="154" t="s">
        <v>285</v>
      </c>
      <c r="C129" s="245" t="s">
        <v>287</v>
      </c>
      <c r="D129" s="155" t="s">
        <v>128</v>
      </c>
      <c r="E129" s="246">
        <v>0.61399999999999999</v>
      </c>
      <c r="F129" s="244"/>
      <c r="G129" s="170">
        <v>0.61399999999999999</v>
      </c>
      <c r="H129" s="246">
        <v>0.61399999999999999</v>
      </c>
      <c r="I129" s="170" t="s">
        <v>188</v>
      </c>
      <c r="J129" s="246">
        <v>0.61399999999999999</v>
      </c>
      <c r="K129" s="364">
        <v>1.081</v>
      </c>
      <c r="L129" s="391">
        <v>1.6950000000000001</v>
      </c>
      <c r="M129" s="170"/>
      <c r="N129" s="246"/>
      <c r="O129" s="102">
        <v>0.61399999999999999</v>
      </c>
      <c r="P129" s="102"/>
    </row>
    <row r="130" spans="1:254" ht="31.5">
      <c r="A130" s="150"/>
      <c r="B130" s="132" t="s">
        <v>286</v>
      </c>
      <c r="C130" s="226" t="s">
        <v>224</v>
      </c>
      <c r="D130" s="133" t="s">
        <v>128</v>
      </c>
      <c r="E130" s="195">
        <v>0.61399999999999999</v>
      </c>
      <c r="F130" s="228"/>
      <c r="G130" s="166">
        <v>0.61399999999999999</v>
      </c>
      <c r="H130" s="195">
        <v>0.61399999999999999</v>
      </c>
      <c r="I130" s="166" t="s">
        <v>188</v>
      </c>
      <c r="J130" s="195">
        <v>0.61399999999999999</v>
      </c>
      <c r="K130" s="354">
        <v>1.081</v>
      </c>
      <c r="L130" s="354">
        <v>1.6950000000000001</v>
      </c>
      <c r="M130" s="217"/>
      <c r="N130" s="216"/>
      <c r="O130" s="102"/>
      <c r="P130" s="102"/>
    </row>
    <row r="131" spans="1:254" ht="31.5">
      <c r="A131" s="150"/>
      <c r="B131" s="393" t="s">
        <v>329</v>
      </c>
      <c r="C131" s="394" t="s">
        <v>333</v>
      </c>
      <c r="D131" s="395" t="s">
        <v>128</v>
      </c>
      <c r="E131" s="396">
        <v>0</v>
      </c>
      <c r="F131" s="397"/>
      <c r="G131" s="392" t="s">
        <v>188</v>
      </c>
      <c r="H131" s="396">
        <v>0</v>
      </c>
      <c r="I131" s="392" t="s">
        <v>188</v>
      </c>
      <c r="J131" s="396">
        <v>0</v>
      </c>
      <c r="K131" s="392">
        <v>0.58299999999999996</v>
      </c>
      <c r="L131" s="392">
        <v>0.58299999999999996</v>
      </c>
      <c r="M131" s="344"/>
      <c r="N131" s="345"/>
      <c r="O131" s="102"/>
      <c r="P131" s="102"/>
    </row>
    <row r="132" spans="1:254" ht="31.5">
      <c r="A132" s="150"/>
      <c r="B132" s="393" t="s">
        <v>330</v>
      </c>
      <c r="C132" s="394" t="s">
        <v>224</v>
      </c>
      <c r="D132" s="395" t="s">
        <v>128</v>
      </c>
      <c r="E132" s="396">
        <v>0</v>
      </c>
      <c r="F132" s="397"/>
      <c r="G132" s="392" t="s">
        <v>188</v>
      </c>
      <c r="H132" s="396">
        <v>0</v>
      </c>
      <c r="I132" s="392" t="s">
        <v>188</v>
      </c>
      <c r="J132" s="396">
        <v>0</v>
      </c>
      <c r="K132" s="392">
        <v>0.58299999999999996</v>
      </c>
      <c r="L132" s="392">
        <v>0.58299999999999996</v>
      </c>
      <c r="M132" s="344"/>
      <c r="N132" s="345"/>
      <c r="O132" s="102"/>
      <c r="P132" s="102"/>
    </row>
    <row r="133" spans="1:254" ht="47.25">
      <c r="A133" s="150"/>
      <c r="B133" s="393" t="s">
        <v>331</v>
      </c>
      <c r="C133" s="394" t="s">
        <v>334</v>
      </c>
      <c r="D133" s="395" t="s">
        <v>128</v>
      </c>
      <c r="E133" s="396">
        <v>0</v>
      </c>
      <c r="F133" s="397"/>
      <c r="G133" s="392" t="s">
        <v>188</v>
      </c>
      <c r="H133" s="396">
        <v>0</v>
      </c>
      <c r="I133" s="392" t="s">
        <v>188</v>
      </c>
      <c r="J133" s="396">
        <v>0</v>
      </c>
      <c r="K133" s="392">
        <v>2.1579999999999999</v>
      </c>
      <c r="L133" s="392">
        <v>2.1579999999999999</v>
      </c>
      <c r="M133" s="344"/>
      <c r="N133" s="345"/>
      <c r="O133" s="102"/>
      <c r="P133" s="102"/>
    </row>
    <row r="134" spans="1:254" ht="94.5">
      <c r="A134" s="150"/>
      <c r="B134" s="393" t="s">
        <v>332</v>
      </c>
      <c r="C134" s="394" t="s">
        <v>183</v>
      </c>
      <c r="D134" s="395" t="s">
        <v>335</v>
      </c>
      <c r="E134" s="396">
        <v>0</v>
      </c>
      <c r="F134" s="397"/>
      <c r="G134" s="392" t="s">
        <v>188</v>
      </c>
      <c r="H134" s="396">
        <v>0</v>
      </c>
      <c r="I134" s="392" t="s">
        <v>188</v>
      </c>
      <c r="J134" s="396">
        <v>0</v>
      </c>
      <c r="K134" s="392">
        <v>73.090999999999994</v>
      </c>
      <c r="L134" s="392">
        <v>73.090999999999994</v>
      </c>
      <c r="M134" s="344"/>
      <c r="N134" s="345"/>
      <c r="O134" s="102"/>
      <c r="P134" s="102"/>
    </row>
    <row r="135" spans="1:254" ht="16.5" thickBot="1">
      <c r="B135" s="247"/>
      <c r="C135" s="248" t="s">
        <v>297</v>
      </c>
      <c r="D135" s="249"/>
      <c r="E135" s="249"/>
      <c r="F135" s="250"/>
      <c r="G135" s="251"/>
      <c r="H135" s="249"/>
      <c r="I135" s="251"/>
      <c r="J135" s="249"/>
      <c r="K135" s="252"/>
      <c r="L135" s="253"/>
      <c r="M135" s="252"/>
      <c r="N135" s="253"/>
    </row>
    <row r="136" spans="1:254" ht="47.25">
      <c r="B136" s="186" t="s">
        <v>295</v>
      </c>
      <c r="C136" s="320" t="s">
        <v>304</v>
      </c>
      <c r="D136" s="260" t="s">
        <v>294</v>
      </c>
      <c r="E136" s="260" t="s">
        <v>207</v>
      </c>
      <c r="F136" s="262"/>
      <c r="G136" s="319" t="s">
        <v>207</v>
      </c>
      <c r="H136" s="319" t="s">
        <v>207</v>
      </c>
      <c r="I136" s="261" t="s">
        <v>293</v>
      </c>
      <c r="J136" s="261" t="s">
        <v>293</v>
      </c>
      <c r="K136" s="288" t="s">
        <v>188</v>
      </c>
      <c r="L136" s="261" t="s">
        <v>293</v>
      </c>
      <c r="M136" s="288"/>
      <c r="N136" s="261"/>
      <c r="O136" s="231">
        <f>176*0.2</f>
        <v>35.200000000000003</v>
      </c>
    </row>
    <row r="137" spans="1:254" ht="47.25">
      <c r="B137" s="132" t="s">
        <v>296</v>
      </c>
      <c r="C137" s="306" t="s">
        <v>305</v>
      </c>
      <c r="D137" s="133" t="s">
        <v>128</v>
      </c>
      <c r="E137" s="195" t="s">
        <v>188</v>
      </c>
      <c r="F137" s="134"/>
      <c r="G137" s="195" t="s">
        <v>188</v>
      </c>
      <c r="H137" s="195" t="s">
        <v>188</v>
      </c>
      <c r="I137" s="195">
        <v>2.3769999999999998</v>
      </c>
      <c r="J137" s="195">
        <v>2.3769999999999998</v>
      </c>
      <c r="K137" s="166" t="s">
        <v>188</v>
      </c>
      <c r="L137" s="195">
        <v>2.3769999999999998</v>
      </c>
      <c r="M137" s="166"/>
      <c r="N137" s="195"/>
      <c r="O137" s="231">
        <f>18.4*30*4/1000</f>
        <v>2.2080000000000002</v>
      </c>
      <c r="P137" s="231">
        <f>22*0.2*0.49*0.01*7850/1000</f>
        <v>0.16924600000000001</v>
      </c>
      <c r="Q137" s="231">
        <f>P137+O137</f>
        <v>2.3772460000000004</v>
      </c>
      <c r="IT137" s="233"/>
    </row>
    <row r="138" spans="1:254" ht="94.5">
      <c r="B138" s="129" t="s">
        <v>298</v>
      </c>
      <c r="C138" s="180" t="s">
        <v>183</v>
      </c>
      <c r="D138" s="139" t="s">
        <v>339</v>
      </c>
      <c r="E138" s="124" t="s">
        <v>188</v>
      </c>
      <c r="F138" s="256"/>
      <c r="G138" s="303" t="s">
        <v>188</v>
      </c>
      <c r="H138" s="256" t="s">
        <v>188</v>
      </c>
      <c r="I138" s="303">
        <v>88.915999999999997</v>
      </c>
      <c r="J138" s="256">
        <v>88.915999999999997</v>
      </c>
      <c r="K138" s="165" t="s">
        <v>188</v>
      </c>
      <c r="L138" s="256">
        <v>88.915999999999997</v>
      </c>
      <c r="M138" s="165"/>
      <c r="N138" s="124"/>
      <c r="O138" s="231">
        <f>O137*38.3+P137*25.7</f>
        <v>88.9160222</v>
      </c>
    </row>
    <row r="139" spans="1:254">
      <c r="B139" s="291"/>
      <c r="C139" s="290"/>
      <c r="D139" s="290"/>
      <c r="E139" s="290"/>
      <c r="F139" s="290"/>
      <c r="G139" s="289"/>
      <c r="H139" s="290"/>
      <c r="I139" s="290"/>
      <c r="J139" s="290"/>
      <c r="K139" s="290"/>
      <c r="L139" s="290"/>
      <c r="M139" s="290"/>
      <c r="N139" s="292"/>
    </row>
    <row r="140" spans="1:254">
      <c r="B140" s="291"/>
      <c r="C140" s="290" t="s">
        <v>345</v>
      </c>
      <c r="D140" s="290"/>
      <c r="E140" s="290"/>
      <c r="F140" s="290"/>
      <c r="G140" s="289"/>
      <c r="H140" s="290"/>
      <c r="I140" s="290"/>
      <c r="J140" s="290"/>
      <c r="K140" s="290"/>
      <c r="L140" s="290"/>
      <c r="M140" s="290"/>
      <c r="N140" s="292"/>
    </row>
    <row r="141" spans="1:254">
      <c r="B141" s="291"/>
      <c r="C141" s="290" t="s">
        <v>346</v>
      </c>
      <c r="D141" s="290"/>
      <c r="E141" s="290"/>
      <c r="F141" s="290"/>
      <c r="G141" s="289"/>
      <c r="H141" s="290"/>
      <c r="I141" s="290"/>
      <c r="J141" s="290"/>
      <c r="K141" s="290"/>
      <c r="L141" s="290"/>
      <c r="M141" s="290"/>
      <c r="N141" s="292"/>
    </row>
    <row r="142" spans="1:254">
      <c r="B142" s="291"/>
      <c r="C142" s="290" t="s">
        <v>347</v>
      </c>
      <c r="D142" s="290"/>
      <c r="E142" s="290"/>
      <c r="F142" s="290"/>
      <c r="G142" s="289"/>
      <c r="H142" s="290"/>
      <c r="I142" s="290"/>
      <c r="J142" s="290"/>
      <c r="K142" s="290"/>
      <c r="L142" s="290"/>
      <c r="M142" s="290"/>
      <c r="N142" s="292"/>
    </row>
    <row r="143" spans="1:254">
      <c r="B143" s="291"/>
      <c r="C143" s="290"/>
      <c r="D143" s="290"/>
      <c r="E143" s="290"/>
      <c r="F143" s="290"/>
      <c r="G143" s="289"/>
      <c r="H143" s="290"/>
      <c r="I143" s="290"/>
      <c r="J143" s="290"/>
      <c r="K143" s="290"/>
      <c r="L143" s="290"/>
      <c r="M143" s="290"/>
      <c r="N143" s="292"/>
    </row>
    <row r="144" spans="1:254">
      <c r="B144" s="291"/>
      <c r="C144" s="290"/>
      <c r="D144" s="290"/>
      <c r="E144" s="290"/>
      <c r="F144" s="290"/>
      <c r="G144" s="289"/>
      <c r="H144" s="290"/>
      <c r="I144" s="290"/>
      <c r="J144" s="290"/>
      <c r="K144" s="290"/>
      <c r="L144" s="290"/>
      <c r="M144" s="290"/>
      <c r="N144" s="292"/>
    </row>
    <row r="145" spans="1:254">
      <c r="B145" s="291"/>
      <c r="C145" s="290"/>
      <c r="D145" s="290"/>
      <c r="E145" s="290"/>
      <c r="F145" s="290"/>
      <c r="G145" s="289"/>
      <c r="H145" s="290"/>
      <c r="I145" s="290"/>
      <c r="J145" s="290"/>
      <c r="K145" s="290"/>
      <c r="L145" s="290"/>
      <c r="M145" s="290"/>
      <c r="N145" s="292"/>
      <c r="IT145" s="233"/>
    </row>
    <row r="146" spans="1:254" ht="83.1" customHeight="1" thickBot="1">
      <c r="A146" s="274" t="s">
        <v>289</v>
      </c>
      <c r="B146" s="293"/>
      <c r="C146" s="294"/>
      <c r="D146" s="294"/>
      <c r="E146" s="294"/>
      <c r="F146" s="294"/>
      <c r="G146" s="295"/>
      <c r="H146" s="294"/>
      <c r="I146" s="294"/>
      <c r="J146" s="294"/>
      <c r="K146" s="294"/>
      <c r="L146" s="294"/>
      <c r="M146" s="294"/>
      <c r="N146" s="296"/>
      <c r="IT146" s="233"/>
    </row>
    <row r="147" spans="1:254" ht="30" customHeight="1" thickBot="1">
      <c r="A147" s="274" t="s">
        <v>289</v>
      </c>
      <c r="B147" s="297"/>
      <c r="C147" s="298"/>
      <c r="D147" s="298"/>
      <c r="E147" s="298"/>
      <c r="F147" s="298"/>
      <c r="G147" s="297"/>
      <c r="H147" s="298"/>
      <c r="I147" s="298"/>
      <c r="J147" s="298"/>
      <c r="K147" s="298"/>
      <c r="L147" s="298"/>
      <c r="M147" s="298"/>
      <c r="N147" s="298"/>
      <c r="IT147" s="233"/>
    </row>
    <row r="148" spans="1:254" ht="16.5" thickBot="1">
      <c r="B148" s="299"/>
      <c r="C148" s="300"/>
      <c r="D148" s="300"/>
      <c r="E148" s="300"/>
      <c r="F148" s="300"/>
      <c r="G148" s="301"/>
      <c r="H148" s="300"/>
      <c r="I148" s="300"/>
      <c r="J148" s="300"/>
      <c r="K148" s="300"/>
      <c r="L148" s="300"/>
      <c r="M148" s="300"/>
      <c r="N148" s="302"/>
    </row>
    <row r="149" spans="1:254">
      <c r="B149" s="291"/>
      <c r="C149" s="290"/>
      <c r="D149" s="290"/>
      <c r="E149" s="290"/>
      <c r="F149" s="290"/>
      <c r="G149" s="289"/>
      <c r="H149" s="290"/>
      <c r="I149" s="290"/>
      <c r="J149" s="290"/>
      <c r="K149" s="290"/>
      <c r="L149" s="290"/>
      <c r="M149" s="290"/>
      <c r="N149" s="292"/>
    </row>
    <row r="150" spans="1:254">
      <c r="B150" s="291"/>
      <c r="C150" s="290"/>
      <c r="D150" s="290"/>
      <c r="E150" s="290"/>
      <c r="F150" s="290"/>
      <c r="G150" s="289"/>
      <c r="H150" s="290"/>
      <c r="I150" s="290"/>
      <c r="J150" s="290"/>
      <c r="K150" s="290"/>
      <c r="L150" s="290"/>
      <c r="M150" s="290"/>
      <c r="N150" s="292"/>
    </row>
    <row r="151" spans="1:254">
      <c r="B151" s="291"/>
      <c r="C151" s="290"/>
      <c r="D151" s="290"/>
      <c r="E151" s="290"/>
      <c r="F151" s="290"/>
      <c r="G151" s="289"/>
      <c r="H151" s="290"/>
      <c r="I151" s="290"/>
      <c r="J151" s="290"/>
      <c r="K151" s="290"/>
      <c r="L151" s="290"/>
      <c r="M151" s="290"/>
      <c r="N151" s="292"/>
    </row>
    <row r="152" spans="1:254">
      <c r="B152" s="291"/>
      <c r="C152" s="290"/>
      <c r="D152" s="290"/>
      <c r="E152" s="290"/>
      <c r="F152" s="290"/>
      <c r="G152" s="289"/>
      <c r="H152" s="290"/>
      <c r="I152" s="290"/>
      <c r="J152" s="290"/>
      <c r="K152" s="290"/>
      <c r="L152" s="290"/>
      <c r="M152" s="290"/>
      <c r="N152" s="292"/>
    </row>
    <row r="153" spans="1:254">
      <c r="B153" s="291"/>
      <c r="C153" s="290"/>
      <c r="D153" s="290"/>
      <c r="E153" s="290"/>
      <c r="F153" s="290"/>
      <c r="G153" s="289"/>
      <c r="H153" s="290"/>
      <c r="I153" s="290"/>
      <c r="J153" s="290"/>
      <c r="K153" s="290"/>
      <c r="L153" s="290"/>
      <c r="M153" s="290"/>
      <c r="N153" s="292"/>
    </row>
    <row r="154" spans="1:254">
      <c r="B154" s="291"/>
      <c r="C154" s="290"/>
      <c r="D154" s="290"/>
      <c r="E154" s="290"/>
      <c r="F154" s="290"/>
      <c r="G154" s="289"/>
      <c r="H154" s="290"/>
      <c r="I154" s="290"/>
      <c r="J154" s="290"/>
      <c r="K154" s="290"/>
      <c r="L154" s="290"/>
      <c r="M154" s="290"/>
      <c r="N154" s="292"/>
    </row>
    <row r="155" spans="1:254">
      <c r="B155" s="291"/>
      <c r="C155" s="290"/>
      <c r="D155" s="290"/>
      <c r="E155" s="290"/>
      <c r="F155" s="290"/>
      <c r="G155" s="289"/>
      <c r="H155" s="290"/>
      <c r="I155" s="290"/>
      <c r="J155" s="290"/>
      <c r="K155" s="290"/>
      <c r="L155" s="290"/>
      <c r="M155" s="290"/>
      <c r="N155" s="292"/>
    </row>
    <row r="156" spans="1:254">
      <c r="B156" s="291"/>
      <c r="C156" s="290"/>
      <c r="D156" s="290"/>
      <c r="E156" s="290"/>
      <c r="F156" s="290"/>
      <c r="G156" s="289"/>
      <c r="H156" s="290"/>
      <c r="I156" s="290"/>
      <c r="J156" s="290"/>
      <c r="K156" s="290"/>
      <c r="L156" s="290"/>
      <c r="M156" s="290"/>
      <c r="N156" s="292"/>
    </row>
    <row r="157" spans="1:254" ht="16.5" thickBot="1">
      <c r="B157" s="291"/>
      <c r="C157" s="290"/>
      <c r="D157" s="290"/>
      <c r="E157" s="290"/>
      <c r="F157" s="290"/>
      <c r="G157" s="289"/>
      <c r="H157" s="290"/>
      <c r="I157" s="290"/>
      <c r="J157" s="290"/>
      <c r="K157" s="290"/>
      <c r="L157" s="290"/>
      <c r="M157" s="290"/>
      <c r="N157" s="292"/>
      <c r="IT157" s="233"/>
    </row>
    <row r="158" spans="1:254" ht="16.5" thickBot="1">
      <c r="B158" s="299"/>
      <c r="C158" s="300"/>
      <c r="D158" s="300"/>
      <c r="E158" s="300"/>
      <c r="F158" s="300"/>
      <c r="G158" s="301"/>
      <c r="H158" s="300"/>
      <c r="I158" s="300"/>
      <c r="J158" s="300"/>
      <c r="K158" s="300"/>
      <c r="L158" s="300"/>
      <c r="M158" s="300"/>
      <c r="N158" s="302"/>
      <c r="IT158" s="233"/>
    </row>
    <row r="159" spans="1:254" ht="16.5" thickBot="1">
      <c r="B159" s="293"/>
      <c r="C159" s="294"/>
      <c r="D159" s="294"/>
      <c r="E159" s="294"/>
      <c r="F159" s="294"/>
      <c r="G159" s="295"/>
      <c r="H159" s="294"/>
      <c r="I159" s="294"/>
      <c r="J159" s="294"/>
      <c r="K159" s="294"/>
      <c r="L159" s="294"/>
      <c r="M159" s="294"/>
      <c r="N159" s="296"/>
    </row>
    <row r="160" spans="1:254">
      <c r="B160" s="291"/>
      <c r="C160" s="290"/>
      <c r="D160" s="290"/>
      <c r="E160" s="290"/>
      <c r="F160" s="290"/>
      <c r="G160" s="289"/>
      <c r="H160" s="290"/>
      <c r="I160" s="290"/>
      <c r="J160" s="290"/>
      <c r="K160" s="290"/>
      <c r="L160" s="290"/>
      <c r="M160" s="290"/>
      <c r="N160" s="292"/>
    </row>
    <row r="161" spans="2:254">
      <c r="B161" s="291"/>
      <c r="C161" s="290"/>
      <c r="D161" s="290"/>
      <c r="E161" s="290"/>
      <c r="F161" s="290"/>
      <c r="G161" s="289"/>
      <c r="H161" s="290"/>
      <c r="I161" s="290"/>
      <c r="J161" s="290"/>
      <c r="K161" s="290"/>
      <c r="L161" s="290"/>
      <c r="M161" s="290"/>
      <c r="N161" s="292"/>
    </row>
    <row r="162" spans="2:254">
      <c r="B162" s="291"/>
      <c r="C162" s="290"/>
      <c r="D162" s="290"/>
      <c r="E162" s="290"/>
      <c r="F162" s="290"/>
      <c r="G162" s="289"/>
      <c r="H162" s="290"/>
      <c r="I162" s="290"/>
      <c r="J162" s="290"/>
      <c r="K162" s="290"/>
      <c r="L162" s="290"/>
      <c r="M162" s="290"/>
      <c r="N162" s="292"/>
    </row>
    <row r="163" spans="2:254">
      <c r="B163" s="291"/>
      <c r="C163" s="290"/>
      <c r="D163" s="290"/>
      <c r="E163" s="290"/>
      <c r="F163" s="290"/>
      <c r="G163" s="289"/>
      <c r="H163" s="290"/>
      <c r="I163" s="290"/>
      <c r="J163" s="290"/>
      <c r="K163" s="290"/>
      <c r="L163" s="290"/>
      <c r="M163" s="290"/>
      <c r="N163" s="292"/>
    </row>
    <row r="164" spans="2:254">
      <c r="B164" s="291"/>
      <c r="C164" s="290"/>
      <c r="D164" s="290"/>
      <c r="E164" s="290"/>
      <c r="F164" s="290"/>
      <c r="G164" s="289"/>
      <c r="H164" s="290"/>
      <c r="I164" s="290"/>
      <c r="J164" s="290"/>
      <c r="K164" s="290"/>
      <c r="L164" s="290"/>
      <c r="M164" s="290"/>
      <c r="N164" s="292"/>
    </row>
    <row r="165" spans="2:254" ht="16.5" thickBot="1">
      <c r="B165" s="291"/>
      <c r="C165" s="290"/>
      <c r="D165" s="290"/>
      <c r="E165" s="290"/>
      <c r="F165" s="290"/>
      <c r="G165" s="289"/>
      <c r="H165" s="290"/>
      <c r="I165" s="290"/>
      <c r="J165" s="290"/>
      <c r="K165" s="290"/>
      <c r="L165" s="290"/>
      <c r="M165" s="290"/>
      <c r="N165" s="292"/>
      <c r="IT165" s="233"/>
    </row>
    <row r="166" spans="2:254" ht="16.5" thickBot="1">
      <c r="B166" s="299"/>
      <c r="C166" s="300"/>
      <c r="D166" s="300"/>
      <c r="E166" s="300"/>
      <c r="F166" s="300"/>
      <c r="G166" s="301"/>
      <c r="H166" s="300"/>
      <c r="I166" s="300"/>
      <c r="J166" s="300"/>
      <c r="K166" s="300"/>
      <c r="L166" s="300"/>
      <c r="M166" s="300"/>
      <c r="N166" s="302"/>
    </row>
    <row r="167" spans="2:254">
      <c r="B167" s="291"/>
      <c r="C167" s="290"/>
      <c r="D167" s="290"/>
      <c r="E167" s="290"/>
      <c r="F167" s="290"/>
      <c r="G167" s="289"/>
      <c r="H167" s="290"/>
      <c r="I167" s="290"/>
      <c r="J167" s="290"/>
      <c r="K167" s="290"/>
      <c r="L167" s="290"/>
      <c r="M167" s="290"/>
      <c r="N167" s="292"/>
    </row>
    <row r="168" spans="2:254">
      <c r="B168" s="291"/>
      <c r="C168" s="290"/>
      <c r="D168" s="290"/>
      <c r="E168" s="290"/>
      <c r="F168" s="290"/>
      <c r="G168" s="289"/>
      <c r="H168" s="290"/>
      <c r="I168" s="290"/>
      <c r="J168" s="290"/>
      <c r="K168" s="290"/>
      <c r="L168" s="290"/>
      <c r="M168" s="290"/>
      <c r="N168" s="292"/>
    </row>
    <row r="169" spans="2:254">
      <c r="B169" s="291"/>
      <c r="C169" s="290"/>
      <c r="D169" s="290"/>
      <c r="E169" s="290"/>
      <c r="F169" s="290"/>
      <c r="G169" s="289"/>
      <c r="H169" s="290"/>
      <c r="I169" s="290"/>
      <c r="J169" s="290"/>
      <c r="K169" s="290"/>
      <c r="L169" s="290"/>
      <c r="M169" s="290"/>
      <c r="N169" s="292"/>
    </row>
    <row r="170" spans="2:254">
      <c r="B170" s="291"/>
      <c r="C170" s="290"/>
      <c r="D170" s="290"/>
      <c r="E170" s="290"/>
      <c r="F170" s="290"/>
      <c r="G170" s="289"/>
      <c r="H170" s="290"/>
      <c r="I170" s="290"/>
      <c r="J170" s="290"/>
      <c r="K170" s="290"/>
      <c r="L170" s="290"/>
      <c r="M170" s="290"/>
      <c r="N170" s="292"/>
    </row>
    <row r="171" spans="2:254">
      <c r="B171" s="291"/>
      <c r="C171" s="290"/>
      <c r="D171" s="290"/>
      <c r="E171" s="290"/>
      <c r="F171" s="290"/>
      <c r="G171" s="289"/>
      <c r="H171" s="290"/>
      <c r="I171" s="290"/>
      <c r="J171" s="290"/>
      <c r="K171" s="290"/>
      <c r="L171" s="290"/>
      <c r="M171" s="290"/>
      <c r="N171" s="292"/>
    </row>
    <row r="172" spans="2:254">
      <c r="B172" s="291"/>
      <c r="C172" s="290"/>
      <c r="D172" s="290"/>
      <c r="E172" s="290"/>
      <c r="F172" s="290"/>
      <c r="G172" s="289"/>
      <c r="H172" s="290"/>
      <c r="I172" s="290"/>
      <c r="J172" s="290"/>
      <c r="K172" s="290"/>
      <c r="L172" s="290"/>
      <c r="M172" s="290"/>
      <c r="N172" s="292"/>
    </row>
    <row r="173" spans="2:254" ht="16.5" thickBot="1">
      <c r="B173" s="291"/>
      <c r="C173" s="290"/>
      <c r="D173" s="290"/>
      <c r="E173" s="290"/>
      <c r="F173" s="290"/>
      <c r="G173" s="289"/>
      <c r="H173" s="290"/>
      <c r="I173" s="290"/>
      <c r="J173" s="290"/>
      <c r="K173" s="290"/>
      <c r="L173" s="290"/>
      <c r="M173" s="290"/>
      <c r="N173" s="292"/>
      <c r="IT173" s="233"/>
    </row>
    <row r="174" spans="2:254" ht="16.5" thickBot="1">
      <c r="B174" s="321"/>
      <c r="C174" s="322"/>
      <c r="D174" s="322"/>
      <c r="E174" s="322"/>
      <c r="F174" s="322"/>
      <c r="G174" s="323"/>
      <c r="H174" s="322"/>
      <c r="I174" s="322"/>
      <c r="J174" s="322"/>
      <c r="K174" s="322"/>
      <c r="L174" s="322"/>
      <c r="M174" s="322"/>
      <c r="N174" s="324"/>
      <c r="IT174" s="233"/>
    </row>
    <row r="175" spans="2:254" ht="16.5" thickBot="1">
      <c r="B175" s="299"/>
      <c r="C175" s="300"/>
      <c r="D175" s="300"/>
      <c r="E175" s="300"/>
      <c r="F175" s="300"/>
      <c r="G175" s="301"/>
      <c r="H175" s="300"/>
      <c r="I175" s="300"/>
      <c r="J175" s="300"/>
      <c r="K175" s="300"/>
      <c r="L175" s="300"/>
      <c r="M175" s="300"/>
      <c r="N175" s="302"/>
    </row>
  </sheetData>
  <mergeCells count="95">
    <mergeCell ref="B124:B126"/>
    <mergeCell ref="C124:C126"/>
    <mergeCell ref="D124:D126"/>
    <mergeCell ref="E124:E126"/>
    <mergeCell ref="F124:F126"/>
    <mergeCell ref="G124:N124"/>
    <mergeCell ref="G125:H125"/>
    <mergeCell ref="I125:J125"/>
    <mergeCell ref="K125:L125"/>
    <mergeCell ref="M125:N125"/>
    <mergeCell ref="B112:B114"/>
    <mergeCell ref="C112:C114"/>
    <mergeCell ref="D112:D114"/>
    <mergeCell ref="E112:E114"/>
    <mergeCell ref="F112:F114"/>
    <mergeCell ref="G112:N112"/>
    <mergeCell ref="G113:H113"/>
    <mergeCell ref="I113:J113"/>
    <mergeCell ref="K113:L113"/>
    <mergeCell ref="M113:N113"/>
    <mergeCell ref="B95:B97"/>
    <mergeCell ref="C95:C97"/>
    <mergeCell ref="D95:D97"/>
    <mergeCell ref="E95:E97"/>
    <mergeCell ref="F95:F97"/>
    <mergeCell ref="G95:N95"/>
    <mergeCell ref="G96:H96"/>
    <mergeCell ref="I96:J96"/>
    <mergeCell ref="K96:L96"/>
    <mergeCell ref="M96:N96"/>
    <mergeCell ref="B79:B81"/>
    <mergeCell ref="C79:C81"/>
    <mergeCell ref="D79:D81"/>
    <mergeCell ref="E79:E81"/>
    <mergeCell ref="F79:F81"/>
    <mergeCell ref="G79:N79"/>
    <mergeCell ref="G80:H80"/>
    <mergeCell ref="I80:J80"/>
    <mergeCell ref="K80:L80"/>
    <mergeCell ref="M80:N80"/>
    <mergeCell ref="B64:B66"/>
    <mergeCell ref="C64:C66"/>
    <mergeCell ref="D64:D66"/>
    <mergeCell ref="E64:E66"/>
    <mergeCell ref="F64:F66"/>
    <mergeCell ref="G64:N64"/>
    <mergeCell ref="G65:H65"/>
    <mergeCell ref="I65:J65"/>
    <mergeCell ref="K65:L65"/>
    <mergeCell ref="M65:N65"/>
    <mergeCell ref="B39:B41"/>
    <mergeCell ref="C39:C41"/>
    <mergeCell ref="D39:D41"/>
    <mergeCell ref="E39:E41"/>
    <mergeCell ref="F39:F41"/>
    <mergeCell ref="G39:N39"/>
    <mergeCell ref="G40:H40"/>
    <mergeCell ref="I40:J40"/>
    <mergeCell ref="K40:L40"/>
    <mergeCell ref="M40:N40"/>
    <mergeCell ref="B21:B23"/>
    <mergeCell ref="C21:C23"/>
    <mergeCell ref="D21:D23"/>
    <mergeCell ref="E21:E23"/>
    <mergeCell ref="F21:F23"/>
    <mergeCell ref="G21:N21"/>
    <mergeCell ref="G22:H22"/>
    <mergeCell ref="I22:J22"/>
    <mergeCell ref="K22:L22"/>
    <mergeCell ref="M22:N22"/>
    <mergeCell ref="B10:B12"/>
    <mergeCell ref="C10:C12"/>
    <mergeCell ref="D10:D12"/>
    <mergeCell ref="E10:E12"/>
    <mergeCell ref="F10:F12"/>
    <mergeCell ref="G10:N10"/>
    <mergeCell ref="G11:H11"/>
    <mergeCell ref="I11:J11"/>
    <mergeCell ref="K11:L11"/>
    <mergeCell ref="M11:N11"/>
    <mergeCell ref="E1:E3"/>
    <mergeCell ref="C1:C3"/>
    <mergeCell ref="K5:L5"/>
    <mergeCell ref="I5:J5"/>
    <mergeCell ref="B1:B3"/>
    <mergeCell ref="D1:D3"/>
    <mergeCell ref="F1:F3"/>
    <mergeCell ref="O5:R5"/>
    <mergeCell ref="M2:N2"/>
    <mergeCell ref="G1:N1"/>
    <mergeCell ref="K2:L2"/>
    <mergeCell ref="M5:N5"/>
    <mergeCell ref="G5:H5"/>
    <mergeCell ref="I2:J2"/>
    <mergeCell ref="G2:H2"/>
  </mergeCells>
  <phoneticPr fontId="3" type="noConversion"/>
  <pageMargins left="0.19685039370078741" right="0.31496062992125984" top="0.39370078740157483" bottom="0.19685039370078741" header="0.39370078740157483" footer="0.19685039370078741"/>
  <pageSetup paperSize="9" scale="65" fitToHeight="68" orientation="landscape" blackAndWhite="1" r:id="rId1"/>
  <headerFooter alignWithMargins="0"/>
  <customProperties>
    <customPr name="TitleRows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N600"/>
  <sheetViews>
    <sheetView topLeftCell="B1" zoomScale="112" zoomScaleNormal="112" workbookViewId="0">
      <selection activeCell="L35" sqref="L35:L36"/>
    </sheetView>
  </sheetViews>
  <sheetFormatPr defaultRowHeight="12.75"/>
  <cols>
    <col min="1" max="1" width="15.85546875" customWidth="1"/>
    <col min="2" max="3" width="5" customWidth="1"/>
    <col min="4" max="4" width="5.28515625" customWidth="1"/>
    <col min="5" max="5" width="5.7109375" customWidth="1"/>
    <col min="6" max="6" width="7.28515625" customWidth="1"/>
    <col min="7" max="7" width="5.140625" customWidth="1"/>
    <col min="8" max="8" width="34.140625" customWidth="1"/>
    <col min="9" max="10" width="7" customWidth="1"/>
    <col min="11" max="11" width="10.5703125" customWidth="1"/>
    <col min="12" max="12" width="5.7109375" customWidth="1"/>
    <col min="14" max="15" width="5" customWidth="1"/>
    <col min="16" max="16" width="5.28515625" customWidth="1"/>
    <col min="17" max="17" width="5.7109375" customWidth="1"/>
    <col min="18" max="18" width="7.28515625" customWidth="1"/>
    <col min="19" max="19" width="5.140625" customWidth="1"/>
    <col min="20" max="20" width="51.7109375" customWidth="1"/>
    <col min="21" max="21" width="7" customWidth="1"/>
    <col min="24" max="24" width="9.7109375" customWidth="1"/>
    <col min="25" max="25" width="10.7109375" customWidth="1"/>
    <col min="26" max="26" width="7.140625" customWidth="1"/>
    <col min="27" max="27" width="5" customWidth="1"/>
    <col min="28" max="28" width="34.140625" customWidth="1"/>
    <col min="29" max="29" width="13.28515625" customWidth="1"/>
    <col min="30" max="30" width="10" customWidth="1"/>
    <col min="33" max="33" width="5" style="28" customWidth="1"/>
    <col min="34" max="34" width="7.140625" style="28" customWidth="1"/>
    <col min="35" max="35" width="5.28515625" style="28" customWidth="1"/>
    <col min="36" max="36" width="11.5703125" style="28" customWidth="1"/>
    <col min="37" max="37" width="7.28515625" style="28" customWidth="1"/>
    <col min="38" max="38" width="5" style="28" customWidth="1"/>
    <col min="39" max="39" width="5.140625" style="28" customWidth="1"/>
    <col min="40" max="40" width="7.140625" style="28" customWidth="1"/>
  </cols>
  <sheetData>
    <row r="1" spans="1:40" ht="17.25" customHeight="1" thickBot="1">
      <c r="A1">
        <v>8.43</v>
      </c>
      <c r="B1" s="87">
        <v>4.29</v>
      </c>
      <c r="C1" s="87">
        <v>4.29</v>
      </c>
      <c r="D1" s="87">
        <v>4.57</v>
      </c>
      <c r="E1" s="87">
        <v>5</v>
      </c>
      <c r="F1" s="87">
        <v>6.57</v>
      </c>
      <c r="G1" s="87">
        <v>4.43</v>
      </c>
      <c r="H1" s="87">
        <v>33.43</v>
      </c>
      <c r="I1" s="87">
        <v>6.29</v>
      </c>
      <c r="J1" s="87">
        <v>6.29</v>
      </c>
      <c r="K1" s="87">
        <v>9.86</v>
      </c>
      <c r="L1" s="3">
        <v>5</v>
      </c>
      <c r="M1">
        <v>8.43</v>
      </c>
      <c r="N1">
        <v>4.29</v>
      </c>
      <c r="O1">
        <v>4.29</v>
      </c>
      <c r="P1">
        <v>4.57</v>
      </c>
      <c r="Q1">
        <v>5</v>
      </c>
      <c r="R1">
        <v>6.57</v>
      </c>
      <c r="S1">
        <v>4.43</v>
      </c>
      <c r="T1">
        <v>51</v>
      </c>
      <c r="U1">
        <v>6.29</v>
      </c>
      <c r="V1">
        <v>8.43</v>
      </c>
      <c r="W1">
        <v>8.43</v>
      </c>
      <c r="X1">
        <v>8.57</v>
      </c>
      <c r="Y1">
        <v>9.57</v>
      </c>
      <c r="Z1">
        <v>6.57</v>
      </c>
      <c r="AA1">
        <v>4.43</v>
      </c>
      <c r="AB1">
        <v>33.43</v>
      </c>
      <c r="AC1">
        <v>12.57</v>
      </c>
      <c r="AD1">
        <v>9.86</v>
      </c>
      <c r="AE1">
        <v>8.43</v>
      </c>
    </row>
    <row r="2" spans="1:40" ht="14.25" customHeight="1" thickTop="1" thickBot="1">
      <c r="B2" s="36"/>
      <c r="C2" s="36"/>
      <c r="D2" s="36"/>
      <c r="E2" s="36"/>
      <c r="F2" s="36"/>
      <c r="G2" s="42"/>
      <c r="H2" s="536" t="s">
        <v>277</v>
      </c>
      <c r="I2" s="537"/>
      <c r="J2" s="537"/>
      <c r="K2" s="537"/>
      <c r="L2" s="3"/>
      <c r="N2" s="67"/>
      <c r="O2" s="42" t="s">
        <v>4</v>
      </c>
      <c r="P2" s="66"/>
      <c r="Q2" s="42" t="s">
        <v>4</v>
      </c>
      <c r="R2" s="42" t="s">
        <v>4</v>
      </c>
      <c r="S2" s="42" t="s">
        <v>4</v>
      </c>
      <c r="T2" s="539" t="s">
        <v>277</v>
      </c>
      <c r="U2" s="37" t="s">
        <v>92</v>
      </c>
      <c r="X2" s="20" t="s">
        <v>98</v>
      </c>
      <c r="Y2" s="21" t="s">
        <v>39</v>
      </c>
      <c r="Z2" s="21"/>
      <c r="AA2" s="21"/>
      <c r="AB2" s="516"/>
      <c r="AC2" s="497"/>
      <c r="AD2" s="498"/>
      <c r="AG2" s="490" t="s">
        <v>8</v>
      </c>
      <c r="AH2" s="491"/>
      <c r="AI2" s="492" t="s">
        <v>9</v>
      </c>
      <c r="AJ2" s="491"/>
      <c r="AK2" s="492" t="s">
        <v>10</v>
      </c>
      <c r="AL2" s="491"/>
      <c r="AM2" s="29" t="s">
        <v>19</v>
      </c>
      <c r="AN2" s="30" t="s">
        <v>25</v>
      </c>
    </row>
    <row r="3" spans="1:40" ht="14.25" customHeight="1" thickBot="1">
      <c r="B3" s="43">
        <v>9</v>
      </c>
      <c r="C3" s="43" t="s">
        <v>188</v>
      </c>
      <c r="D3" s="43" t="s">
        <v>189</v>
      </c>
      <c r="E3" s="43" t="s">
        <v>342</v>
      </c>
      <c r="F3" s="43"/>
      <c r="G3" s="118" t="s">
        <v>341</v>
      </c>
      <c r="H3" s="538"/>
      <c r="I3" s="538"/>
      <c r="J3" s="538"/>
      <c r="K3" s="538"/>
      <c r="L3" s="3"/>
      <c r="N3" s="68">
        <v>9</v>
      </c>
      <c r="O3" s="44" t="s">
        <v>188</v>
      </c>
      <c r="P3" s="44" t="s">
        <v>189</v>
      </c>
      <c r="Q3" s="44" t="s">
        <v>342</v>
      </c>
      <c r="R3" s="44" t="s">
        <v>4</v>
      </c>
      <c r="S3" s="44" t="s">
        <v>341</v>
      </c>
      <c r="T3" s="540"/>
      <c r="U3" s="542">
        <v>9</v>
      </c>
      <c r="X3" s="22" t="s">
        <v>40</v>
      </c>
      <c r="Y3" s="19" t="s">
        <v>41</v>
      </c>
      <c r="Z3" s="19"/>
      <c r="AA3" s="19"/>
      <c r="AB3" s="517"/>
      <c r="AC3" s="499"/>
      <c r="AD3" s="500"/>
      <c r="AG3" s="493">
        <v>100509</v>
      </c>
      <c r="AH3" s="494"/>
      <c r="AI3" s="495"/>
      <c r="AJ3" s="494"/>
      <c r="AK3" s="495"/>
      <c r="AL3" s="496"/>
      <c r="AM3" s="95"/>
      <c r="AN3" s="94"/>
    </row>
    <row r="4" spans="1:40" ht="14.25" customHeight="1" thickBot="1">
      <c r="B4" s="40" t="s">
        <v>93</v>
      </c>
      <c r="C4" s="40" t="s">
        <v>94</v>
      </c>
      <c r="D4" s="40" t="s">
        <v>92</v>
      </c>
      <c r="E4" s="40" t="s">
        <v>95</v>
      </c>
      <c r="F4" s="41" t="s">
        <v>96</v>
      </c>
      <c r="G4" s="41" t="s">
        <v>97</v>
      </c>
      <c r="H4" s="538"/>
      <c r="I4" s="538"/>
      <c r="J4" s="538"/>
      <c r="K4" s="538"/>
      <c r="L4" s="3"/>
      <c r="N4" s="34" t="s">
        <v>93</v>
      </c>
      <c r="O4" s="45" t="s">
        <v>94</v>
      </c>
      <c r="P4" s="35" t="s">
        <v>92</v>
      </c>
      <c r="Q4" s="35" t="s">
        <v>95</v>
      </c>
      <c r="R4" s="35" t="s">
        <v>96</v>
      </c>
      <c r="S4" s="35" t="s">
        <v>97</v>
      </c>
      <c r="T4" s="541"/>
      <c r="U4" s="543"/>
      <c r="X4" s="22" t="s">
        <v>42</v>
      </c>
      <c r="Y4" s="19" t="s">
        <v>43</v>
      </c>
      <c r="Z4" s="19"/>
      <c r="AA4" s="19"/>
      <c r="AB4" s="517"/>
      <c r="AC4" s="499"/>
      <c r="AD4" s="500"/>
    </row>
    <row r="5" spans="1:40" ht="14.25" customHeight="1" thickBot="1">
      <c r="B5" s="553" t="s">
        <v>5</v>
      </c>
      <c r="C5" s="553"/>
      <c r="D5" s="554" t="s">
        <v>208</v>
      </c>
      <c r="E5" s="554"/>
      <c r="F5" s="38"/>
      <c r="G5" s="118" t="s">
        <v>341</v>
      </c>
      <c r="H5" s="555" t="s">
        <v>177</v>
      </c>
      <c r="I5" s="41" t="s">
        <v>0</v>
      </c>
      <c r="J5" s="41" t="s">
        <v>92</v>
      </c>
      <c r="K5" s="41" t="s">
        <v>1</v>
      </c>
      <c r="L5" s="3"/>
      <c r="X5" s="22"/>
      <c r="Y5" s="19"/>
      <c r="Z5" s="19"/>
      <c r="AA5" s="19"/>
      <c r="AB5" s="499"/>
      <c r="AC5" s="499"/>
      <c r="AD5" s="4" t="s">
        <v>1</v>
      </c>
    </row>
    <row r="6" spans="1:40" ht="14.25" customHeight="1" thickBot="1">
      <c r="B6" s="553" t="s">
        <v>3</v>
      </c>
      <c r="C6" s="553"/>
      <c r="D6" s="554" t="s">
        <v>178</v>
      </c>
      <c r="E6" s="554"/>
      <c r="F6" s="38"/>
      <c r="G6" s="118" t="s">
        <v>341</v>
      </c>
      <c r="H6" s="556"/>
      <c r="I6" s="77" t="s">
        <v>2</v>
      </c>
      <c r="J6" s="77">
        <v>1</v>
      </c>
      <c r="K6" s="77">
        <v>9</v>
      </c>
      <c r="L6" s="3"/>
      <c r="X6" s="22" t="s">
        <v>7</v>
      </c>
      <c r="Y6" s="19" t="s">
        <v>53</v>
      </c>
      <c r="Z6" s="19"/>
      <c r="AA6" s="19"/>
      <c r="AB6" s="499"/>
      <c r="AC6" s="499"/>
      <c r="AD6" s="502"/>
    </row>
    <row r="7" spans="1:40" ht="14.25" customHeight="1" thickBot="1">
      <c r="B7" s="558" t="s">
        <v>22</v>
      </c>
      <c r="C7" s="559"/>
      <c r="D7" s="558" t="s">
        <v>179</v>
      </c>
      <c r="E7" s="559"/>
      <c r="F7" s="38"/>
      <c r="G7" s="118" t="s">
        <v>341</v>
      </c>
      <c r="H7" s="556"/>
      <c r="I7" s="544" t="s">
        <v>130</v>
      </c>
      <c r="J7" s="545"/>
      <c r="K7" s="546"/>
      <c r="L7" s="3"/>
      <c r="X7" s="506" t="s">
        <v>44</v>
      </c>
      <c r="Y7" s="507"/>
      <c r="Z7" s="23"/>
      <c r="AA7" s="23"/>
      <c r="AB7" s="501"/>
      <c r="AC7" s="501"/>
      <c r="AD7" s="503"/>
      <c r="AG7" s="31"/>
      <c r="AH7" s="31"/>
      <c r="AI7" s="31"/>
      <c r="AJ7" s="31"/>
      <c r="AK7" s="32"/>
      <c r="AL7" s="32"/>
      <c r="AM7" s="31"/>
    </row>
    <row r="8" spans="1:40" ht="14.25" customHeight="1" thickBot="1">
      <c r="B8" s="553" t="s">
        <v>6</v>
      </c>
      <c r="C8" s="553"/>
      <c r="D8" s="553" t="s">
        <v>53</v>
      </c>
      <c r="E8" s="553"/>
      <c r="F8" s="38"/>
      <c r="G8" s="118" t="s">
        <v>341</v>
      </c>
      <c r="H8" s="556"/>
      <c r="I8" s="547"/>
      <c r="J8" s="548"/>
      <c r="K8" s="549"/>
      <c r="L8" s="3"/>
      <c r="AG8" s="33"/>
      <c r="AH8" s="33"/>
      <c r="AI8" s="33"/>
      <c r="AJ8" s="33"/>
      <c r="AK8" s="33"/>
      <c r="AL8" s="33"/>
      <c r="AM8" s="31"/>
    </row>
    <row r="9" spans="1:40" ht="14.25" customHeight="1" thickBot="1">
      <c r="B9" s="564" t="s">
        <v>98</v>
      </c>
      <c r="C9" s="564"/>
      <c r="D9" s="564" t="s">
        <v>190</v>
      </c>
      <c r="E9" s="564"/>
      <c r="F9" s="39"/>
      <c r="G9" s="118" t="s">
        <v>341</v>
      </c>
      <c r="H9" s="557"/>
      <c r="I9" s="550"/>
      <c r="J9" s="551"/>
      <c r="K9" s="552"/>
      <c r="L9" s="3"/>
    </row>
    <row r="10" spans="1:40" ht="14.25" customHeight="1" thickTop="1" thickBot="1">
      <c r="A10" s="1"/>
      <c r="B10" s="1"/>
      <c r="C10" s="1"/>
      <c r="D10" s="1"/>
      <c r="E10" s="1"/>
      <c r="F10" s="1"/>
      <c r="G10" s="151"/>
      <c r="H10" s="1"/>
      <c r="I10" s="1"/>
      <c r="J10" s="1"/>
      <c r="K10" s="1"/>
      <c r="L10" s="1"/>
      <c r="X10" s="508" t="s">
        <v>45</v>
      </c>
      <c r="Y10" s="509"/>
      <c r="Z10" s="509"/>
      <c r="AA10" s="510"/>
    </row>
    <row r="11" spans="1:40" ht="14.25" thickTop="1" thickBot="1">
      <c r="A11" s="1"/>
      <c r="B11" s="565" t="s">
        <v>8</v>
      </c>
      <c r="C11" s="566"/>
      <c r="D11" s="567" t="s">
        <v>9</v>
      </c>
      <c r="E11" s="568"/>
      <c r="F11" s="567" t="s">
        <v>10</v>
      </c>
      <c r="G11" s="577"/>
      <c r="H11" s="5" t="s">
        <v>11</v>
      </c>
      <c r="I11" s="6"/>
      <c r="J11" s="6"/>
      <c r="K11" s="6"/>
      <c r="L11" s="6"/>
      <c r="X11" s="511"/>
      <c r="Y11" s="512"/>
      <c r="Z11" s="512"/>
      <c r="AA11" s="513"/>
    </row>
    <row r="12" spans="1:40" ht="13.5" thickBot="1">
      <c r="A12" s="1"/>
      <c r="B12" s="578"/>
      <c r="C12" s="579"/>
      <c r="D12" s="578"/>
      <c r="E12" s="579"/>
      <c r="F12" s="578"/>
      <c r="G12" s="580"/>
      <c r="H12" s="1"/>
      <c r="I12" s="7"/>
      <c r="J12" s="7"/>
      <c r="K12" s="7"/>
      <c r="L12" s="7"/>
      <c r="X12" s="22"/>
      <c r="Y12" s="19"/>
      <c r="Z12" s="19"/>
      <c r="AA12" s="24"/>
    </row>
    <row r="13" spans="1:40" ht="14.25" thickTop="1" thickBot="1">
      <c r="A13" s="1"/>
      <c r="B13" s="6"/>
      <c r="C13" s="6"/>
      <c r="D13" s="6"/>
      <c r="E13" s="6"/>
      <c r="F13" s="6"/>
      <c r="G13" s="6"/>
      <c r="H13" s="1"/>
      <c r="I13" s="7"/>
      <c r="J13" s="7"/>
      <c r="K13" s="7"/>
      <c r="L13" s="7"/>
      <c r="X13" s="22" t="s">
        <v>3</v>
      </c>
      <c r="Y13" s="19"/>
      <c r="Z13" s="19"/>
      <c r="AA13" s="24"/>
    </row>
    <row r="14" spans="1:40" ht="12" customHeight="1" thickTop="1" thickBot="1">
      <c r="A14" s="1">
        <v>1</v>
      </c>
      <c r="B14" s="581" t="s">
        <v>12</v>
      </c>
      <c r="C14" s="582"/>
      <c r="D14" s="582"/>
      <c r="E14" s="582"/>
      <c r="F14" s="582"/>
      <c r="G14" s="583"/>
      <c r="H14" s="1"/>
      <c r="I14" s="7"/>
      <c r="J14" s="7"/>
      <c r="K14" s="7"/>
      <c r="L14" s="7"/>
      <c r="X14" s="22" t="s">
        <v>46</v>
      </c>
      <c r="Y14" s="19"/>
      <c r="Z14" s="19"/>
      <c r="AA14" s="24"/>
    </row>
    <row r="15" spans="1:40" ht="12" customHeight="1" thickBot="1">
      <c r="A15" s="1"/>
      <c r="B15" s="560" t="s">
        <v>279</v>
      </c>
      <c r="C15" s="561"/>
      <c r="D15" s="562" t="s">
        <v>280</v>
      </c>
      <c r="E15" s="563"/>
      <c r="F15" s="63"/>
      <c r="G15" s="123" t="s">
        <v>341</v>
      </c>
      <c r="H15" s="1"/>
      <c r="I15" s="7"/>
      <c r="J15" s="7"/>
      <c r="K15" s="7"/>
      <c r="L15" s="7"/>
      <c r="X15" s="514" t="s">
        <v>44</v>
      </c>
      <c r="Y15" s="515"/>
      <c r="Z15" s="23"/>
      <c r="AA15" s="25"/>
    </row>
    <row r="16" spans="1:40" ht="12" customHeight="1" thickTop="1">
      <c r="A16" s="1"/>
      <c r="B16" s="587"/>
      <c r="C16" s="588"/>
      <c r="D16" s="589"/>
      <c r="E16" s="588"/>
      <c r="F16" s="103"/>
      <c r="G16" s="122" t="s">
        <v>4</v>
      </c>
      <c r="H16" s="1"/>
      <c r="I16" s="7"/>
      <c r="J16" s="7"/>
      <c r="K16" s="7"/>
      <c r="L16" s="7"/>
    </row>
    <row r="17" spans="1:31" ht="12" customHeight="1" thickBot="1">
      <c r="A17" s="1"/>
      <c r="B17" s="608"/>
      <c r="C17" s="609"/>
      <c r="D17" s="610"/>
      <c r="E17" s="609"/>
      <c r="F17" s="88"/>
      <c r="G17" s="89" t="s">
        <v>4</v>
      </c>
      <c r="H17" s="1"/>
      <c r="I17" s="7"/>
      <c r="J17" s="7"/>
      <c r="K17" s="7"/>
      <c r="L17" s="7"/>
      <c r="X17" t="s">
        <v>47</v>
      </c>
    </row>
    <row r="18" spans="1:31" ht="12" customHeight="1" thickTop="1">
      <c r="A18" s="1"/>
      <c r="B18" s="8"/>
      <c r="C18" s="8"/>
      <c r="D18" s="8"/>
      <c r="E18" s="8"/>
      <c r="F18" s="9"/>
      <c r="G18" s="9"/>
      <c r="H18" s="1"/>
      <c r="I18" s="7"/>
      <c r="J18" s="7"/>
      <c r="K18" s="7"/>
      <c r="L18" s="7"/>
      <c r="W18" s="92"/>
      <c r="X18" s="518" t="str">
        <f>CONCATENATE(H22,AE19,H25)</f>
        <v>МНПП «Уфа-Западное направление». Строительство обхода г. Пенза. 2-й этап. Строительство ЛПДС «Пенза»
Здание магистральной насосной</v>
      </c>
      <c r="Y18" s="519"/>
      <c r="Z18" s="519"/>
      <c r="AA18" s="519"/>
      <c r="AB18" s="519"/>
      <c r="AC18" s="520"/>
      <c r="AD18" s="90"/>
    </row>
    <row r="19" spans="1:31" ht="14.25" customHeight="1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7"/>
      <c r="W19" s="92"/>
      <c r="X19" s="521"/>
      <c r="Y19" s="522"/>
      <c r="Z19" s="522"/>
      <c r="AA19" s="522"/>
      <c r="AB19" s="522"/>
      <c r="AC19" s="523"/>
      <c r="AD19" s="91"/>
      <c r="AE19" s="76" t="s">
        <v>23</v>
      </c>
    </row>
    <row r="20" spans="1:31" ht="14.25" customHeight="1" thickTop="1">
      <c r="B20" s="54"/>
      <c r="C20" s="53"/>
      <c r="D20" s="54"/>
      <c r="E20" s="55"/>
      <c r="F20" s="54"/>
      <c r="G20" s="56"/>
      <c r="H20" s="590" t="s">
        <v>277</v>
      </c>
      <c r="I20" s="591"/>
      <c r="J20" s="591"/>
      <c r="K20" s="592"/>
      <c r="L20" s="7"/>
      <c r="W20" s="92"/>
      <c r="X20" s="521"/>
      <c r="Y20" s="522"/>
      <c r="Z20" s="522"/>
      <c r="AA20" s="522"/>
      <c r="AB20" s="522"/>
      <c r="AC20" s="523"/>
      <c r="AD20" s="91"/>
    </row>
    <row r="21" spans="1:31" ht="14.25" customHeight="1" thickBot="1">
      <c r="B21" s="79"/>
      <c r="C21" s="78"/>
      <c r="D21" s="79"/>
      <c r="E21" s="80"/>
      <c r="F21" s="79"/>
      <c r="G21" s="81"/>
      <c r="H21" s="593"/>
      <c r="I21" s="594"/>
      <c r="J21" s="594"/>
      <c r="K21" s="595"/>
      <c r="L21" s="7"/>
      <c r="W21" s="92"/>
      <c r="X21" s="521"/>
      <c r="Y21" s="522"/>
      <c r="Z21" s="522"/>
      <c r="AA21" s="522"/>
      <c r="AB21" s="522"/>
      <c r="AC21" s="523"/>
      <c r="AD21" s="91"/>
    </row>
    <row r="22" spans="1:31" ht="14.25" customHeight="1" thickTop="1">
      <c r="B22" s="58"/>
      <c r="C22" s="57"/>
      <c r="D22" s="58"/>
      <c r="E22" s="59"/>
      <c r="F22" s="58"/>
      <c r="G22" s="60"/>
      <c r="H22" s="596" t="s">
        <v>343</v>
      </c>
      <c r="I22" s="597"/>
      <c r="J22" s="597"/>
      <c r="K22" s="598"/>
      <c r="L22" s="7"/>
      <c r="N22" s="52"/>
      <c r="O22" s="53"/>
      <c r="P22" s="54"/>
      <c r="Q22" s="55"/>
      <c r="R22" s="54"/>
      <c r="S22" s="69"/>
      <c r="W22" s="92"/>
      <c r="X22" s="524"/>
      <c r="Y22" s="525"/>
      <c r="Z22" s="525"/>
      <c r="AA22" s="525"/>
      <c r="AB22" s="525"/>
      <c r="AC22" s="526"/>
      <c r="AD22" s="91"/>
    </row>
    <row r="23" spans="1:31" ht="14.25" customHeight="1">
      <c r="B23" s="58">
        <v>9</v>
      </c>
      <c r="C23" s="57" t="s">
        <v>188</v>
      </c>
      <c r="D23" s="58" t="s">
        <v>189</v>
      </c>
      <c r="E23" s="59" t="s">
        <v>342</v>
      </c>
      <c r="F23" s="58"/>
      <c r="G23" s="120" t="s">
        <v>341</v>
      </c>
      <c r="H23" s="599"/>
      <c r="I23" s="597"/>
      <c r="J23" s="597"/>
      <c r="K23" s="598"/>
      <c r="L23" s="7"/>
      <c r="N23" s="70"/>
      <c r="O23" s="71"/>
      <c r="P23" s="72"/>
      <c r="Q23" s="73"/>
      <c r="R23" s="72"/>
      <c r="S23" s="74"/>
      <c r="X23" s="93"/>
    </row>
    <row r="24" spans="1:31" ht="14.25" customHeight="1" thickBot="1">
      <c r="B24" s="50" t="s">
        <v>93</v>
      </c>
      <c r="C24" s="49" t="s">
        <v>94</v>
      </c>
      <c r="D24" s="50" t="s">
        <v>92</v>
      </c>
      <c r="E24" s="51" t="s">
        <v>95</v>
      </c>
      <c r="F24" s="50" t="s">
        <v>96</v>
      </c>
      <c r="G24" s="50" t="s">
        <v>97</v>
      </c>
      <c r="H24" s="600"/>
      <c r="I24" s="601"/>
      <c r="J24" s="601"/>
      <c r="K24" s="602"/>
      <c r="L24" s="7"/>
      <c r="N24" s="48" t="s">
        <v>93</v>
      </c>
      <c r="O24" s="49" t="s">
        <v>94</v>
      </c>
      <c r="P24" s="50" t="s">
        <v>92</v>
      </c>
      <c r="Q24" s="51" t="s">
        <v>95</v>
      </c>
      <c r="R24" s="50" t="s">
        <v>96</v>
      </c>
      <c r="S24" s="75" t="s">
        <v>97</v>
      </c>
    </row>
    <row r="25" spans="1:31" ht="14.25" customHeight="1" thickBot="1">
      <c r="B25" s="603" t="s">
        <v>5</v>
      </c>
      <c r="C25" s="604"/>
      <c r="D25" s="569" t="s">
        <v>208</v>
      </c>
      <c r="E25" s="570"/>
      <c r="F25" s="83"/>
      <c r="G25" s="119" t="s">
        <v>341</v>
      </c>
      <c r="H25" s="571" t="s">
        <v>180</v>
      </c>
      <c r="I25" s="41" t="s">
        <v>0</v>
      </c>
      <c r="J25" s="41" t="s">
        <v>92</v>
      </c>
      <c r="K25" s="41" t="s">
        <v>1</v>
      </c>
      <c r="L25" s="7"/>
    </row>
    <row r="26" spans="1:31" ht="14.25" customHeight="1" thickBot="1">
      <c r="B26" s="574" t="s">
        <v>3</v>
      </c>
      <c r="C26" s="575"/>
      <c r="D26" s="574" t="s">
        <v>178</v>
      </c>
      <c r="E26" s="576"/>
      <c r="F26" s="46"/>
      <c r="G26" s="120" t="s">
        <v>341</v>
      </c>
      <c r="H26" s="572"/>
      <c r="I26" s="540" t="s">
        <v>2</v>
      </c>
      <c r="J26" s="540">
        <v>1</v>
      </c>
      <c r="K26" s="540">
        <v>3</v>
      </c>
      <c r="L26" s="7"/>
      <c r="X26" t="s">
        <v>26</v>
      </c>
    </row>
    <row r="27" spans="1:31" ht="14.25" customHeight="1" thickBot="1">
      <c r="B27" s="574" t="s">
        <v>22</v>
      </c>
      <c r="C27" s="575"/>
      <c r="D27" s="574" t="s">
        <v>179</v>
      </c>
      <c r="E27" s="576"/>
      <c r="F27" s="46"/>
      <c r="G27" s="120" t="s">
        <v>341</v>
      </c>
      <c r="H27" s="573"/>
      <c r="I27" s="540"/>
      <c r="J27" s="540"/>
      <c r="K27" s="540"/>
      <c r="L27" s="7"/>
      <c r="X27" s="527" t="s">
        <v>27</v>
      </c>
      <c r="Y27" s="528"/>
      <c r="Z27" s="528"/>
      <c r="AA27" s="528"/>
      <c r="AB27" s="528"/>
      <c r="AC27" s="529"/>
    </row>
    <row r="28" spans="1:31" ht="14.25" customHeight="1">
      <c r="B28" s="574" t="s">
        <v>6</v>
      </c>
      <c r="C28" s="575"/>
      <c r="D28" s="574" t="s">
        <v>53</v>
      </c>
      <c r="E28" s="576"/>
      <c r="F28" s="46"/>
      <c r="G28" s="120" t="s">
        <v>341</v>
      </c>
      <c r="H28" s="584" t="s">
        <v>129</v>
      </c>
      <c r="I28" s="544" t="s">
        <v>100</v>
      </c>
      <c r="J28" s="545"/>
      <c r="K28" s="546"/>
      <c r="L28" s="7"/>
      <c r="X28" s="530"/>
      <c r="Y28" s="531"/>
      <c r="Z28" s="531"/>
      <c r="AA28" s="531"/>
      <c r="AB28" s="531"/>
      <c r="AC28" s="532"/>
    </row>
    <row r="29" spans="1:31" ht="14.25" customHeight="1">
      <c r="B29" s="574" t="s">
        <v>98</v>
      </c>
      <c r="C29" s="575"/>
      <c r="D29" s="574" t="s">
        <v>190</v>
      </c>
      <c r="E29" s="576"/>
      <c r="F29" s="46"/>
      <c r="G29" s="120" t="s">
        <v>341</v>
      </c>
      <c r="H29" s="585"/>
      <c r="I29" s="547"/>
      <c r="J29" s="548"/>
      <c r="K29" s="549"/>
      <c r="L29" s="7"/>
      <c r="X29" s="530"/>
      <c r="Y29" s="531"/>
      <c r="Z29" s="531"/>
      <c r="AA29" s="531"/>
      <c r="AB29" s="531"/>
      <c r="AC29" s="532"/>
    </row>
    <row r="30" spans="1:31" ht="14.25" customHeight="1" thickBot="1">
      <c r="B30" s="605"/>
      <c r="C30" s="606"/>
      <c r="D30" s="605"/>
      <c r="E30" s="607"/>
      <c r="F30" s="47"/>
      <c r="G30" s="121" t="s">
        <v>4</v>
      </c>
      <c r="H30" s="586"/>
      <c r="I30" s="550"/>
      <c r="J30" s="551"/>
      <c r="K30" s="552"/>
      <c r="L30" s="7"/>
      <c r="X30" s="530"/>
      <c r="Y30" s="531"/>
      <c r="Z30" s="531"/>
      <c r="AA30" s="531"/>
      <c r="AB30" s="531"/>
      <c r="AC30" s="532"/>
    </row>
    <row r="31" spans="1:31" ht="14.25" customHeight="1" thickTop="1">
      <c r="A31" s="1"/>
      <c r="B31" s="1"/>
      <c r="C31" s="1"/>
      <c r="D31" s="1"/>
      <c r="E31" s="1"/>
      <c r="F31" s="1"/>
      <c r="G31" s="1"/>
      <c r="H31" s="1"/>
      <c r="I31" s="1"/>
      <c r="J31" s="1"/>
      <c r="K31" s="86"/>
      <c r="L31" s="7"/>
      <c r="N31" s="16" t="s">
        <v>54</v>
      </c>
      <c r="O31" s="9"/>
      <c r="P31" s="9"/>
      <c r="Q31" s="9"/>
      <c r="R31" s="9"/>
      <c r="X31" s="530"/>
      <c r="Y31" s="531"/>
      <c r="Z31" s="531"/>
      <c r="AA31" s="531"/>
      <c r="AB31" s="531"/>
      <c r="AC31" s="532"/>
    </row>
    <row r="32" spans="1:31" ht="14.25" customHeight="1">
      <c r="A32" s="1"/>
      <c r="B32" s="65" t="s">
        <v>20</v>
      </c>
      <c r="C32" s="64"/>
      <c r="D32" s="64" t="s">
        <v>278</v>
      </c>
      <c r="E32" s="64"/>
      <c r="F32" s="64"/>
      <c r="G32" s="65" t="s">
        <v>341</v>
      </c>
      <c r="H32" s="1"/>
      <c r="I32" s="1"/>
      <c r="J32" s="1"/>
      <c r="K32" s="1"/>
      <c r="L32" s="7"/>
      <c r="N32" s="61" t="s">
        <v>55</v>
      </c>
      <c r="O32" s="62"/>
      <c r="P32" s="62"/>
      <c r="Q32" s="62"/>
      <c r="R32" s="62" t="s">
        <v>24</v>
      </c>
      <c r="X32" s="530"/>
      <c r="Y32" s="531"/>
      <c r="Z32" s="531"/>
      <c r="AA32" s="531"/>
      <c r="AB32" s="531"/>
      <c r="AC32" s="532"/>
    </row>
    <row r="33" spans="1:29">
      <c r="A33" s="1"/>
      <c r="B33" s="8"/>
      <c r="C33" s="8"/>
      <c r="D33" s="8"/>
      <c r="E33" s="8"/>
      <c r="F33" s="9"/>
      <c r="G33" s="9"/>
      <c r="H33" s="1"/>
      <c r="I33" s="7"/>
      <c r="J33" s="7"/>
      <c r="K33" s="7"/>
      <c r="L33" s="7"/>
      <c r="N33" s="61" t="s">
        <v>21</v>
      </c>
      <c r="O33" s="62"/>
      <c r="P33" s="62"/>
      <c r="Q33" s="62"/>
      <c r="R33" s="62"/>
      <c r="X33" s="530"/>
      <c r="Y33" s="531"/>
      <c r="Z33" s="531"/>
      <c r="AA33" s="531"/>
      <c r="AB33" s="531"/>
      <c r="AC33" s="532"/>
    </row>
    <row r="34" spans="1:29" ht="13.5" thickBot="1">
      <c r="A34" s="18" t="s">
        <v>13</v>
      </c>
      <c r="B34" s="8"/>
      <c r="C34" s="8"/>
      <c r="D34" s="8"/>
      <c r="E34" s="8"/>
      <c r="F34" s="9"/>
      <c r="G34" s="9"/>
      <c r="H34" s="1"/>
      <c r="I34" s="7"/>
      <c r="J34" s="7"/>
      <c r="K34" s="7"/>
      <c r="X34" s="533"/>
      <c r="Y34" s="534"/>
      <c r="Z34" s="534"/>
      <c r="AA34" s="534"/>
      <c r="AB34" s="534"/>
      <c r="AC34" s="535"/>
    </row>
    <row r="35" spans="1:29" ht="12" customHeight="1">
      <c r="A35" s="1"/>
      <c r="B35" s="8"/>
      <c r="C35" s="8"/>
      <c r="D35" s="8"/>
      <c r="E35" s="8"/>
      <c r="F35" s="9"/>
      <c r="G35" s="9"/>
      <c r="H35" s="1"/>
      <c r="I35" s="7"/>
      <c r="J35" s="7"/>
      <c r="K35" s="7">
        <v>36</v>
      </c>
      <c r="L35" s="504">
        <v>44</v>
      </c>
    </row>
    <row r="36" spans="1:29" ht="13.5" customHeight="1" thickBot="1">
      <c r="A36" s="1"/>
      <c r="B36" s="1"/>
      <c r="C36" s="1"/>
      <c r="D36" s="1"/>
      <c r="E36" s="1"/>
      <c r="F36" s="1"/>
      <c r="G36" s="1"/>
      <c r="H36" s="1"/>
      <c r="I36" s="7"/>
      <c r="J36" s="7"/>
      <c r="K36" s="7"/>
      <c r="L36" s="505"/>
    </row>
    <row r="37" spans="1:29">
      <c r="A37" s="14"/>
      <c r="B37" s="10"/>
      <c r="C37" s="10"/>
      <c r="D37" s="10"/>
      <c r="E37" s="10"/>
      <c r="F37" s="10"/>
      <c r="G37" s="10"/>
      <c r="H37" s="1"/>
      <c r="I37" s="1"/>
      <c r="J37" s="1"/>
      <c r="K37" s="1"/>
    </row>
    <row r="38" spans="1:29">
      <c r="A38" s="11" t="s">
        <v>14</v>
      </c>
      <c r="B38" s="85" t="s">
        <v>93</v>
      </c>
      <c r="C38" s="12" t="s">
        <v>15</v>
      </c>
      <c r="D38" s="12" t="s">
        <v>92</v>
      </c>
      <c r="E38" s="12" t="s">
        <v>95</v>
      </c>
      <c r="F38" s="12" t="s">
        <v>96</v>
      </c>
      <c r="G38" s="12" t="s">
        <v>97</v>
      </c>
      <c r="H38" s="13" t="s">
        <v>16</v>
      </c>
      <c r="I38" s="1"/>
      <c r="J38" s="1"/>
      <c r="K38" s="1"/>
      <c r="L38">
        <v>1</v>
      </c>
      <c r="N38" s="611"/>
      <c r="O38" s="612"/>
    </row>
    <row r="39" spans="1:29">
      <c r="A39">
        <v>2</v>
      </c>
      <c r="B39">
        <v>9</v>
      </c>
      <c r="C39" t="s">
        <v>188</v>
      </c>
      <c r="D39" t="s">
        <v>189</v>
      </c>
      <c r="E39" t="s">
        <v>342</v>
      </c>
      <c r="G39" t="s">
        <v>341</v>
      </c>
      <c r="H39" s="84" t="s">
        <v>17</v>
      </c>
      <c r="I39" s="1"/>
      <c r="J39" s="1"/>
      <c r="K39" s="1"/>
      <c r="N39" s="613"/>
      <c r="O39" s="614"/>
    </row>
    <row r="40" spans="1:29">
      <c r="A40">
        <v>3</v>
      </c>
      <c r="B40">
        <v>9</v>
      </c>
      <c r="C40" t="s">
        <v>188</v>
      </c>
      <c r="D40" t="s">
        <v>189</v>
      </c>
      <c r="E40" t="s">
        <v>342</v>
      </c>
      <c r="G40" t="s">
        <v>341</v>
      </c>
      <c r="H40" s="97" t="s">
        <v>32</v>
      </c>
      <c r="I40" s="1"/>
      <c r="J40" s="1"/>
      <c r="K40" s="1"/>
      <c r="N40" s="613"/>
      <c r="O40" s="614"/>
    </row>
    <row r="41" spans="1:29" ht="15">
      <c r="A41">
        <v>4</v>
      </c>
      <c r="B41">
        <v>9</v>
      </c>
      <c r="C41" t="s">
        <v>188</v>
      </c>
      <c r="D41" t="s">
        <v>189</v>
      </c>
      <c r="E41" t="s">
        <v>342</v>
      </c>
      <c r="G41" t="s">
        <v>341</v>
      </c>
      <c r="H41" s="98" t="s">
        <v>33</v>
      </c>
      <c r="I41" s="26"/>
      <c r="J41" s="1"/>
      <c r="K41" s="1"/>
      <c r="N41" s="613"/>
      <c r="O41" s="614"/>
    </row>
    <row r="42" spans="1:29" ht="15">
      <c r="A42">
        <v>5</v>
      </c>
      <c r="B42">
        <v>9</v>
      </c>
      <c r="C42" t="s">
        <v>188</v>
      </c>
      <c r="D42" t="s">
        <v>189</v>
      </c>
      <c r="E42" t="s">
        <v>342</v>
      </c>
      <c r="G42" t="s">
        <v>341</v>
      </c>
      <c r="H42" s="1"/>
      <c r="I42" s="27"/>
      <c r="J42" s="1"/>
      <c r="K42" s="1"/>
      <c r="N42" s="613"/>
      <c r="O42" s="614"/>
    </row>
    <row r="43" spans="1:29" ht="15">
      <c r="A43">
        <v>6</v>
      </c>
      <c r="B43">
        <v>9</v>
      </c>
      <c r="C43" t="s">
        <v>188</v>
      </c>
      <c r="D43" t="s">
        <v>189</v>
      </c>
      <c r="E43" t="s">
        <v>342</v>
      </c>
      <c r="G43" t="s">
        <v>341</v>
      </c>
      <c r="H43" s="1"/>
      <c r="I43" s="27"/>
      <c r="J43" s="1"/>
      <c r="K43" s="1"/>
      <c r="N43" s="613"/>
      <c r="O43" s="614"/>
    </row>
    <row r="44" spans="1:29" ht="15">
      <c r="A44">
        <v>7</v>
      </c>
      <c r="B44">
        <v>9</v>
      </c>
      <c r="C44" t="s">
        <v>188</v>
      </c>
      <c r="D44" t="s">
        <v>189</v>
      </c>
      <c r="E44" t="s">
        <v>342</v>
      </c>
      <c r="G44" t="s">
        <v>341</v>
      </c>
      <c r="H44" s="1"/>
      <c r="I44" s="27"/>
      <c r="J44" s="1"/>
      <c r="K44" s="1"/>
      <c r="N44" s="613"/>
      <c r="O44" s="614"/>
    </row>
    <row r="45" spans="1:29" ht="15">
      <c r="A45">
        <v>8</v>
      </c>
      <c r="B45">
        <v>9</v>
      </c>
      <c r="C45" t="s">
        <v>188</v>
      </c>
      <c r="D45" t="s">
        <v>189</v>
      </c>
      <c r="E45" t="s">
        <v>342</v>
      </c>
      <c r="G45" t="s">
        <v>341</v>
      </c>
      <c r="H45" s="1"/>
      <c r="I45" s="27"/>
      <c r="J45" s="1"/>
      <c r="K45" s="1"/>
      <c r="N45" s="613"/>
      <c r="O45" s="614"/>
    </row>
    <row r="46" spans="1:29" ht="16.5" customHeight="1">
      <c r="A46">
        <v>9</v>
      </c>
      <c r="B46">
        <v>9</v>
      </c>
      <c r="C46" t="s">
        <v>188</v>
      </c>
      <c r="D46" t="s">
        <v>189</v>
      </c>
      <c r="E46" t="s">
        <v>342</v>
      </c>
      <c r="G46" t="s">
        <v>341</v>
      </c>
      <c r="H46" s="1"/>
      <c r="I46" s="27"/>
      <c r="J46" s="1"/>
      <c r="K46" s="1"/>
      <c r="N46" s="613"/>
      <c r="O46" s="614"/>
    </row>
    <row r="47" spans="1:29" ht="13.5" customHeight="1">
      <c r="A47">
        <v>10</v>
      </c>
      <c r="B47">
        <v>9</v>
      </c>
      <c r="C47" t="s">
        <v>188</v>
      </c>
      <c r="D47" t="s">
        <v>189</v>
      </c>
      <c r="E47" t="s">
        <v>342</v>
      </c>
      <c r="G47" t="s">
        <v>341</v>
      </c>
      <c r="H47" s="1"/>
      <c r="I47" s="1"/>
      <c r="J47" s="1"/>
      <c r="K47" s="1"/>
      <c r="N47" s="613"/>
      <c r="O47" s="614"/>
    </row>
    <row r="48" spans="1:29" ht="13.5" customHeight="1">
      <c r="A48">
        <v>11</v>
      </c>
      <c r="B48">
        <v>9</v>
      </c>
      <c r="C48" t="s">
        <v>188</v>
      </c>
      <c r="D48" t="s">
        <v>189</v>
      </c>
      <c r="E48" t="s">
        <v>342</v>
      </c>
      <c r="G48" t="s">
        <v>341</v>
      </c>
      <c r="H48" s="1"/>
      <c r="I48" s="1"/>
      <c r="J48" s="1"/>
      <c r="K48" s="1"/>
      <c r="N48" s="613"/>
      <c r="O48" s="614"/>
    </row>
    <row r="49" spans="1:15" ht="13.5" customHeight="1">
      <c r="A49">
        <v>12</v>
      </c>
      <c r="B49">
        <v>9</v>
      </c>
      <c r="C49" t="s">
        <v>188</v>
      </c>
      <c r="D49" t="s">
        <v>189</v>
      </c>
      <c r="E49" t="s">
        <v>342</v>
      </c>
      <c r="G49" t="s">
        <v>341</v>
      </c>
      <c r="H49" s="1"/>
      <c r="I49" s="1"/>
      <c r="J49" s="1"/>
      <c r="K49" s="1"/>
      <c r="N49" s="613"/>
      <c r="O49" s="614"/>
    </row>
    <row r="50" spans="1:15">
      <c r="A50">
        <v>13</v>
      </c>
      <c r="B50">
        <v>9</v>
      </c>
      <c r="C50" t="s">
        <v>188</v>
      </c>
      <c r="D50" t="s">
        <v>189</v>
      </c>
      <c r="E50" t="s">
        <v>342</v>
      </c>
      <c r="G50" t="s">
        <v>341</v>
      </c>
      <c r="H50" s="1"/>
      <c r="I50" s="1"/>
      <c r="J50" s="1"/>
      <c r="K50" s="1"/>
      <c r="N50" s="613"/>
      <c r="O50" s="614"/>
    </row>
    <row r="51" spans="1:15">
      <c r="A51">
        <v>14</v>
      </c>
      <c r="B51">
        <v>9</v>
      </c>
      <c r="C51" t="s">
        <v>188</v>
      </c>
      <c r="D51" t="s">
        <v>189</v>
      </c>
      <c r="E51" t="s">
        <v>342</v>
      </c>
      <c r="G51" t="s">
        <v>341</v>
      </c>
      <c r="H51" s="1"/>
      <c r="I51" s="1"/>
      <c r="J51" s="1"/>
      <c r="K51" s="1"/>
      <c r="N51" s="615"/>
      <c r="O51" s="616"/>
    </row>
    <row r="52" spans="1:15" ht="13.5" customHeight="1">
      <c r="A52">
        <v>15</v>
      </c>
      <c r="B52">
        <v>9</v>
      </c>
      <c r="C52" t="s">
        <v>188</v>
      </c>
      <c r="D52" t="s">
        <v>189</v>
      </c>
      <c r="E52" t="s">
        <v>342</v>
      </c>
      <c r="G52" t="s">
        <v>341</v>
      </c>
      <c r="H52" s="1"/>
      <c r="I52" s="1"/>
      <c r="J52" s="1"/>
      <c r="K52" s="1"/>
    </row>
    <row r="53" spans="1:15">
      <c r="A53">
        <v>16</v>
      </c>
      <c r="B53">
        <v>9</v>
      </c>
      <c r="C53" t="s">
        <v>188</v>
      </c>
      <c r="D53" t="s">
        <v>189</v>
      </c>
      <c r="E53" t="s">
        <v>342</v>
      </c>
      <c r="G53" t="s">
        <v>341</v>
      </c>
      <c r="H53" s="1"/>
      <c r="I53" s="1"/>
      <c r="J53" s="1"/>
      <c r="K53" s="1"/>
    </row>
    <row r="54" spans="1:15">
      <c r="A54">
        <v>17</v>
      </c>
      <c r="B54">
        <v>9</v>
      </c>
      <c r="C54" t="s">
        <v>188</v>
      </c>
      <c r="D54" t="s">
        <v>189</v>
      </c>
      <c r="E54" t="s">
        <v>342</v>
      </c>
      <c r="G54" t="s">
        <v>341</v>
      </c>
      <c r="H54" s="1"/>
      <c r="I54" s="1"/>
      <c r="J54" s="1"/>
      <c r="K54" s="1"/>
    </row>
    <row r="55" spans="1:15">
      <c r="A55">
        <v>18</v>
      </c>
      <c r="B55">
        <v>9</v>
      </c>
      <c r="C55" t="s">
        <v>188</v>
      </c>
      <c r="D55" t="s">
        <v>189</v>
      </c>
      <c r="E55" t="s">
        <v>342</v>
      </c>
      <c r="G55" t="s">
        <v>341</v>
      </c>
      <c r="H55" s="1"/>
      <c r="I55" s="1"/>
      <c r="J55" s="1"/>
      <c r="K55" s="1"/>
    </row>
    <row r="56" spans="1:15">
      <c r="A56">
        <v>19</v>
      </c>
      <c r="B56">
        <v>9</v>
      </c>
      <c r="C56" t="s">
        <v>188</v>
      </c>
      <c r="D56" t="s">
        <v>189</v>
      </c>
      <c r="E56" t="s">
        <v>342</v>
      </c>
      <c r="G56" t="s">
        <v>341</v>
      </c>
      <c r="H56" s="1"/>
      <c r="I56" s="1"/>
      <c r="J56" s="1"/>
      <c r="K56" s="1"/>
    </row>
    <row r="57" spans="1:15">
      <c r="A57">
        <v>20</v>
      </c>
      <c r="B57">
        <v>9</v>
      </c>
      <c r="C57" t="s">
        <v>188</v>
      </c>
      <c r="D57" t="s">
        <v>189</v>
      </c>
      <c r="E57" t="s">
        <v>342</v>
      </c>
      <c r="G57" t="s">
        <v>341</v>
      </c>
      <c r="H57" s="1"/>
      <c r="I57" s="1"/>
      <c r="J57" s="1"/>
      <c r="K57" s="1"/>
    </row>
    <row r="58" spans="1:15">
      <c r="A58">
        <v>21</v>
      </c>
      <c r="B58">
        <v>9</v>
      </c>
      <c r="C58" t="s">
        <v>188</v>
      </c>
      <c r="D58" t="s">
        <v>189</v>
      </c>
      <c r="E58" t="s">
        <v>342</v>
      </c>
      <c r="G58" t="s">
        <v>341</v>
      </c>
      <c r="H58" s="1"/>
      <c r="I58" s="1"/>
      <c r="J58" s="1"/>
      <c r="K58" s="1"/>
    </row>
    <row r="59" spans="1:15">
      <c r="A59">
        <v>22</v>
      </c>
      <c r="B59">
        <v>9</v>
      </c>
      <c r="C59" t="s">
        <v>188</v>
      </c>
      <c r="D59" t="s">
        <v>189</v>
      </c>
      <c r="E59" t="s">
        <v>342</v>
      </c>
      <c r="G59" t="s">
        <v>341</v>
      </c>
      <c r="H59" s="1"/>
      <c r="I59" s="1"/>
      <c r="J59" s="1"/>
      <c r="K59" s="1"/>
    </row>
    <row r="60" spans="1:15">
      <c r="A60">
        <v>23</v>
      </c>
      <c r="B60">
        <v>9</v>
      </c>
      <c r="C60" t="s">
        <v>188</v>
      </c>
      <c r="D60" t="s">
        <v>189</v>
      </c>
      <c r="E60" t="s">
        <v>342</v>
      </c>
      <c r="G60" t="s">
        <v>341</v>
      </c>
      <c r="H60" s="1"/>
      <c r="I60" s="1"/>
      <c r="J60" s="1"/>
      <c r="K60" s="1"/>
    </row>
    <row r="61" spans="1:15">
      <c r="A61">
        <v>24</v>
      </c>
      <c r="B61">
        <v>9</v>
      </c>
      <c r="C61" t="s">
        <v>188</v>
      </c>
      <c r="D61" t="s">
        <v>189</v>
      </c>
      <c r="E61" t="s">
        <v>342</v>
      </c>
      <c r="G61" t="s">
        <v>341</v>
      </c>
      <c r="H61" s="1"/>
      <c r="I61" s="1"/>
      <c r="J61" s="1"/>
      <c r="K61" s="1"/>
    </row>
    <row r="62" spans="1:15">
      <c r="A62">
        <v>25</v>
      </c>
      <c r="B62">
        <v>9</v>
      </c>
      <c r="C62" t="s">
        <v>188</v>
      </c>
      <c r="D62" t="s">
        <v>189</v>
      </c>
      <c r="E62" t="s">
        <v>342</v>
      </c>
      <c r="G62" t="s">
        <v>341</v>
      </c>
      <c r="H62" s="1"/>
      <c r="I62" s="1"/>
      <c r="J62" s="1"/>
      <c r="K62" s="1"/>
    </row>
    <row r="63" spans="1:15">
      <c r="A63">
        <v>26</v>
      </c>
      <c r="B63">
        <v>9</v>
      </c>
      <c r="C63" t="s">
        <v>188</v>
      </c>
      <c r="D63" t="s">
        <v>189</v>
      </c>
      <c r="E63" t="s">
        <v>342</v>
      </c>
      <c r="G63" t="s">
        <v>341</v>
      </c>
      <c r="H63" s="1"/>
      <c r="I63" s="1"/>
      <c r="J63" s="1"/>
      <c r="K63" s="1"/>
    </row>
    <row r="64" spans="1:15">
      <c r="A64">
        <v>27</v>
      </c>
      <c r="B64">
        <v>9</v>
      </c>
      <c r="C64" t="s">
        <v>188</v>
      </c>
      <c r="D64" t="s">
        <v>189</v>
      </c>
      <c r="E64" t="s">
        <v>342</v>
      </c>
      <c r="G64" t="s">
        <v>341</v>
      </c>
      <c r="H64" s="1"/>
      <c r="I64" s="1"/>
      <c r="J64" s="1"/>
      <c r="K64" s="1"/>
    </row>
    <row r="65" spans="1:11">
      <c r="A65">
        <v>28</v>
      </c>
      <c r="B65">
        <v>9</v>
      </c>
      <c r="C65" t="s">
        <v>188</v>
      </c>
      <c r="D65" t="s">
        <v>189</v>
      </c>
      <c r="E65" t="s">
        <v>342</v>
      </c>
      <c r="G65" t="s">
        <v>341</v>
      </c>
      <c r="H65" s="1"/>
      <c r="I65" s="1"/>
      <c r="J65" s="1"/>
      <c r="K65" s="1"/>
    </row>
    <row r="66" spans="1:11">
      <c r="A66">
        <v>29</v>
      </c>
      <c r="B66">
        <v>9</v>
      </c>
      <c r="C66" t="s">
        <v>188</v>
      </c>
      <c r="D66" t="s">
        <v>189</v>
      </c>
      <c r="E66" t="s">
        <v>342</v>
      </c>
      <c r="G66" t="s">
        <v>341</v>
      </c>
      <c r="H66" s="1"/>
      <c r="I66" s="1"/>
      <c r="J66" s="1"/>
      <c r="K66" s="1"/>
    </row>
    <row r="67" spans="1:11">
      <c r="A67">
        <v>30</v>
      </c>
      <c r="B67">
        <v>9</v>
      </c>
      <c r="C67" t="s">
        <v>188</v>
      </c>
      <c r="D67" t="s">
        <v>189</v>
      </c>
      <c r="E67" t="s">
        <v>342</v>
      </c>
      <c r="G67" t="s">
        <v>341</v>
      </c>
      <c r="H67" s="1"/>
      <c r="I67" s="1"/>
      <c r="J67" s="1"/>
      <c r="K67" s="1"/>
    </row>
    <row r="68" spans="1:11">
      <c r="A68">
        <v>31</v>
      </c>
      <c r="B68">
        <v>9</v>
      </c>
      <c r="C68" t="s">
        <v>188</v>
      </c>
      <c r="D68" t="s">
        <v>189</v>
      </c>
      <c r="E68" t="s">
        <v>342</v>
      </c>
      <c r="G68" t="s">
        <v>341</v>
      </c>
      <c r="H68" s="1"/>
      <c r="I68" s="1"/>
      <c r="J68" s="1"/>
      <c r="K68" s="1"/>
    </row>
    <row r="69" spans="1:11">
      <c r="A69">
        <v>32</v>
      </c>
      <c r="B69">
        <v>9</v>
      </c>
      <c r="C69" t="s">
        <v>188</v>
      </c>
      <c r="D69" t="s">
        <v>189</v>
      </c>
      <c r="E69" t="s">
        <v>342</v>
      </c>
      <c r="G69" t="s">
        <v>341</v>
      </c>
      <c r="H69" s="1"/>
      <c r="I69" s="1"/>
      <c r="J69" s="1"/>
      <c r="K69" s="1"/>
    </row>
    <row r="70" spans="1:11">
      <c r="A70">
        <v>33</v>
      </c>
      <c r="B70">
        <v>9</v>
      </c>
      <c r="C70" t="s">
        <v>188</v>
      </c>
      <c r="D70" t="s">
        <v>189</v>
      </c>
      <c r="E70" t="s">
        <v>342</v>
      </c>
      <c r="G70" t="s">
        <v>341</v>
      </c>
      <c r="H70" s="1"/>
      <c r="I70" s="1"/>
      <c r="J70" s="1"/>
      <c r="K70" s="1"/>
    </row>
    <row r="71" spans="1:11">
      <c r="A71">
        <v>34</v>
      </c>
      <c r="B71">
        <v>9</v>
      </c>
      <c r="C71" t="s">
        <v>188</v>
      </c>
      <c r="D71" t="s">
        <v>189</v>
      </c>
      <c r="E71" t="s">
        <v>342</v>
      </c>
      <c r="G71" t="s">
        <v>341</v>
      </c>
      <c r="H71" s="1"/>
      <c r="I71" s="1"/>
      <c r="J71" s="1"/>
      <c r="K71" s="1"/>
    </row>
    <row r="72" spans="1:11">
      <c r="A72">
        <v>35</v>
      </c>
      <c r="B72">
        <v>9</v>
      </c>
      <c r="C72" t="s">
        <v>188</v>
      </c>
      <c r="D72" t="s">
        <v>189</v>
      </c>
      <c r="E72" t="s">
        <v>342</v>
      </c>
      <c r="G72" t="s">
        <v>341</v>
      </c>
      <c r="H72" s="1"/>
      <c r="I72" s="1"/>
      <c r="J72" s="1"/>
      <c r="K72" s="1"/>
    </row>
    <row r="73" spans="1:11">
      <c r="A73">
        <v>36</v>
      </c>
      <c r="B73">
        <v>9</v>
      </c>
      <c r="C73" t="s">
        <v>188</v>
      </c>
      <c r="D73" t="s">
        <v>189</v>
      </c>
      <c r="E73" t="s">
        <v>342</v>
      </c>
      <c r="G73" t="s">
        <v>341</v>
      </c>
      <c r="H73" s="1"/>
      <c r="I73" s="1"/>
      <c r="J73" s="1"/>
      <c r="K73" s="1"/>
    </row>
    <row r="74" spans="1:11">
      <c r="A74">
        <v>37</v>
      </c>
      <c r="B74">
        <v>9</v>
      </c>
      <c r="C74" t="s">
        <v>188</v>
      </c>
      <c r="D74" t="s">
        <v>189</v>
      </c>
      <c r="E74" t="s">
        <v>342</v>
      </c>
      <c r="G74" t="s">
        <v>341</v>
      </c>
      <c r="H74" s="1"/>
      <c r="I74" s="1"/>
      <c r="J74" s="1"/>
      <c r="K74" s="1"/>
    </row>
    <row r="75" spans="1:11">
      <c r="A75">
        <v>38</v>
      </c>
      <c r="B75">
        <v>9</v>
      </c>
      <c r="C75" t="s">
        <v>188</v>
      </c>
      <c r="D75" t="s">
        <v>189</v>
      </c>
      <c r="E75" t="s">
        <v>342</v>
      </c>
      <c r="G75" t="s">
        <v>341</v>
      </c>
      <c r="H75" s="1"/>
      <c r="I75" s="1"/>
      <c r="J75" s="1"/>
      <c r="K75" s="1"/>
    </row>
    <row r="76" spans="1:11">
      <c r="A76">
        <v>39</v>
      </c>
      <c r="B76">
        <v>9</v>
      </c>
      <c r="C76" t="s">
        <v>188</v>
      </c>
      <c r="D76" t="s">
        <v>189</v>
      </c>
      <c r="E76" t="s">
        <v>342</v>
      </c>
      <c r="G76" t="s">
        <v>341</v>
      </c>
      <c r="H76" s="1"/>
      <c r="I76" s="1"/>
      <c r="J76" s="1"/>
      <c r="K76" s="1"/>
    </row>
    <row r="77" spans="1:11">
      <c r="A77">
        <v>40</v>
      </c>
      <c r="B77">
        <v>9</v>
      </c>
      <c r="C77" t="s">
        <v>188</v>
      </c>
      <c r="D77" t="s">
        <v>189</v>
      </c>
      <c r="E77" t="s">
        <v>342</v>
      </c>
      <c r="G77" t="s">
        <v>341</v>
      </c>
      <c r="H77" s="1"/>
      <c r="I77" s="1"/>
      <c r="J77" s="1"/>
      <c r="K77" s="1"/>
    </row>
    <row r="78" spans="1:11">
      <c r="A78">
        <v>41</v>
      </c>
      <c r="B78">
        <v>9</v>
      </c>
      <c r="C78" t="s">
        <v>188</v>
      </c>
      <c r="D78" t="s">
        <v>189</v>
      </c>
      <c r="E78" t="s">
        <v>342</v>
      </c>
      <c r="G78" t="s">
        <v>341</v>
      </c>
      <c r="H78" s="1"/>
      <c r="I78" s="1"/>
      <c r="J78" s="1"/>
      <c r="K78" s="1"/>
    </row>
    <row r="79" spans="1:11">
      <c r="A79">
        <v>42</v>
      </c>
      <c r="B79">
        <v>9</v>
      </c>
      <c r="C79" t="s">
        <v>188</v>
      </c>
      <c r="D79" t="s">
        <v>189</v>
      </c>
      <c r="E79" t="s">
        <v>342</v>
      </c>
      <c r="G79" t="s">
        <v>341</v>
      </c>
      <c r="H79" s="1"/>
      <c r="I79" s="1"/>
      <c r="J79" s="1"/>
      <c r="K79" s="1"/>
    </row>
    <row r="80" spans="1:11">
      <c r="A80">
        <v>43</v>
      </c>
      <c r="B80">
        <v>9</v>
      </c>
      <c r="C80" t="s">
        <v>188</v>
      </c>
      <c r="D80" t="s">
        <v>189</v>
      </c>
      <c r="E80" t="s">
        <v>342</v>
      </c>
      <c r="G80" t="s">
        <v>341</v>
      </c>
      <c r="H80" s="1"/>
      <c r="I80" s="1"/>
      <c r="J80" s="1"/>
      <c r="K80" s="1"/>
    </row>
    <row r="81" spans="1:11">
      <c r="A81">
        <v>44</v>
      </c>
      <c r="B81">
        <v>9</v>
      </c>
      <c r="C81" t="s">
        <v>188</v>
      </c>
      <c r="D81" t="s">
        <v>189</v>
      </c>
      <c r="E81" t="s">
        <v>342</v>
      </c>
      <c r="G81" t="s">
        <v>341</v>
      </c>
      <c r="H81" s="1"/>
      <c r="I81" s="1"/>
      <c r="J81" s="1"/>
      <c r="K81" s="1"/>
    </row>
    <row r="82" spans="1:11">
      <c r="A82">
        <v>45</v>
      </c>
      <c r="B82">
        <v>9</v>
      </c>
      <c r="C82" t="s">
        <v>188</v>
      </c>
      <c r="D82" t="s">
        <v>189</v>
      </c>
      <c r="E82" t="s">
        <v>342</v>
      </c>
      <c r="G82" t="s">
        <v>341</v>
      </c>
      <c r="H82" s="1"/>
      <c r="I82" s="1"/>
      <c r="J82" s="1"/>
      <c r="K82" s="1"/>
    </row>
    <row r="83" spans="1:11">
      <c r="A83">
        <v>46</v>
      </c>
      <c r="B83">
        <v>9</v>
      </c>
      <c r="C83" t="s">
        <v>188</v>
      </c>
      <c r="D83" t="s">
        <v>189</v>
      </c>
      <c r="E83" t="s">
        <v>342</v>
      </c>
      <c r="G83" t="s">
        <v>341</v>
      </c>
      <c r="H83" s="1"/>
      <c r="I83" s="1"/>
      <c r="J83" s="1"/>
      <c r="K83" s="1"/>
    </row>
    <row r="84" spans="1:11">
      <c r="A84">
        <v>47</v>
      </c>
      <c r="B84">
        <v>9</v>
      </c>
      <c r="C84" t="s">
        <v>188</v>
      </c>
      <c r="D84" t="s">
        <v>189</v>
      </c>
      <c r="E84" t="s">
        <v>342</v>
      </c>
      <c r="G84" t="s">
        <v>341</v>
      </c>
      <c r="H84" s="1"/>
      <c r="I84" s="1"/>
      <c r="J84" s="1"/>
      <c r="K84" s="1"/>
    </row>
    <row r="85" spans="1:11">
      <c r="A85">
        <v>48</v>
      </c>
      <c r="B85">
        <v>9</v>
      </c>
      <c r="C85" t="s">
        <v>188</v>
      </c>
      <c r="D85" t="s">
        <v>189</v>
      </c>
      <c r="E85" t="s">
        <v>342</v>
      </c>
      <c r="G85" t="s">
        <v>341</v>
      </c>
      <c r="H85" s="1"/>
      <c r="I85" s="1"/>
      <c r="J85" s="1"/>
      <c r="K85" s="1"/>
    </row>
    <row r="86" spans="1:11">
      <c r="A86">
        <v>49</v>
      </c>
      <c r="B86">
        <v>9</v>
      </c>
      <c r="C86" t="s">
        <v>188</v>
      </c>
      <c r="D86" t="s">
        <v>189</v>
      </c>
      <c r="E86" t="s">
        <v>342</v>
      </c>
      <c r="G86" t="s">
        <v>341</v>
      </c>
      <c r="H86" s="1"/>
      <c r="I86" s="1"/>
      <c r="J86" s="1"/>
      <c r="K86" s="1"/>
    </row>
    <row r="87" spans="1:11">
      <c r="A87">
        <v>50</v>
      </c>
      <c r="B87">
        <v>9</v>
      </c>
      <c r="C87" t="s">
        <v>188</v>
      </c>
      <c r="D87" t="s">
        <v>189</v>
      </c>
      <c r="E87" t="s">
        <v>342</v>
      </c>
      <c r="G87" t="s">
        <v>341</v>
      </c>
      <c r="H87" s="1"/>
      <c r="I87" s="1"/>
      <c r="J87" s="1"/>
      <c r="K87" s="1"/>
    </row>
    <row r="88" spans="1:11">
      <c r="A88">
        <v>51</v>
      </c>
      <c r="B88">
        <v>9</v>
      </c>
      <c r="C88" t="s">
        <v>188</v>
      </c>
      <c r="D88" t="s">
        <v>189</v>
      </c>
      <c r="E88" t="s">
        <v>342</v>
      </c>
      <c r="G88" t="s">
        <v>341</v>
      </c>
      <c r="H88" s="1"/>
      <c r="I88" s="1"/>
      <c r="J88" s="1"/>
      <c r="K88" s="1"/>
    </row>
    <row r="89" spans="1:11">
      <c r="A89">
        <v>52</v>
      </c>
      <c r="B89">
        <v>9</v>
      </c>
      <c r="C89" t="s">
        <v>188</v>
      </c>
      <c r="D89" t="s">
        <v>189</v>
      </c>
      <c r="E89" t="s">
        <v>342</v>
      </c>
      <c r="G89" t="s">
        <v>341</v>
      </c>
      <c r="H89" s="1"/>
      <c r="I89" s="1"/>
      <c r="J89" s="1"/>
      <c r="K89" s="1"/>
    </row>
    <row r="90" spans="1:11">
      <c r="A90">
        <v>53</v>
      </c>
      <c r="B90">
        <v>9</v>
      </c>
      <c r="C90" t="s">
        <v>188</v>
      </c>
      <c r="D90" t="s">
        <v>189</v>
      </c>
      <c r="E90" t="s">
        <v>342</v>
      </c>
      <c r="G90" t="s">
        <v>341</v>
      </c>
      <c r="H90" s="1"/>
      <c r="I90" s="1"/>
      <c r="J90" s="1"/>
      <c r="K90" s="1"/>
    </row>
    <row r="91" spans="1:11">
      <c r="A91">
        <v>54</v>
      </c>
      <c r="B91">
        <v>9</v>
      </c>
      <c r="C91" t="s">
        <v>188</v>
      </c>
      <c r="D91" t="s">
        <v>189</v>
      </c>
      <c r="E91" t="s">
        <v>342</v>
      </c>
      <c r="G91" t="s">
        <v>341</v>
      </c>
      <c r="H91" s="1"/>
      <c r="I91" s="1"/>
      <c r="J91" s="1"/>
      <c r="K91" s="1"/>
    </row>
    <row r="92" spans="1:11">
      <c r="A92">
        <v>55</v>
      </c>
      <c r="B92">
        <v>9</v>
      </c>
      <c r="C92" t="s">
        <v>188</v>
      </c>
      <c r="D92" t="s">
        <v>189</v>
      </c>
      <c r="E92" t="s">
        <v>342</v>
      </c>
      <c r="G92" t="s">
        <v>341</v>
      </c>
      <c r="H92" s="1"/>
      <c r="I92" s="1"/>
      <c r="J92" s="1"/>
      <c r="K92" s="1"/>
    </row>
    <row r="93" spans="1:11">
      <c r="A93">
        <v>56</v>
      </c>
      <c r="B93">
        <v>9</v>
      </c>
      <c r="C93" t="s">
        <v>188</v>
      </c>
      <c r="D93" t="s">
        <v>189</v>
      </c>
      <c r="E93" t="s">
        <v>342</v>
      </c>
      <c r="G93" t="s">
        <v>341</v>
      </c>
      <c r="H93" s="1"/>
      <c r="I93" s="1"/>
      <c r="J93" s="1"/>
      <c r="K93" s="1"/>
    </row>
    <row r="94" spans="1:11">
      <c r="A94">
        <v>57</v>
      </c>
      <c r="B94">
        <v>9</v>
      </c>
      <c r="C94" t="s">
        <v>188</v>
      </c>
      <c r="D94" t="s">
        <v>189</v>
      </c>
      <c r="E94" t="s">
        <v>342</v>
      </c>
      <c r="G94" t="s">
        <v>341</v>
      </c>
      <c r="H94" s="1"/>
      <c r="I94" s="1"/>
      <c r="J94" s="1"/>
      <c r="K94" s="1"/>
    </row>
    <row r="95" spans="1:11">
      <c r="A95">
        <v>58</v>
      </c>
      <c r="B95">
        <v>9</v>
      </c>
      <c r="C95" t="s">
        <v>188</v>
      </c>
      <c r="D95" t="s">
        <v>189</v>
      </c>
      <c r="E95" t="s">
        <v>342</v>
      </c>
      <c r="G95" t="s">
        <v>341</v>
      </c>
      <c r="H95" s="1"/>
      <c r="I95" s="1"/>
      <c r="J95" s="1"/>
      <c r="K95" s="1"/>
    </row>
    <row r="96" spans="1:11">
      <c r="A96">
        <v>59</v>
      </c>
      <c r="B96">
        <v>9</v>
      </c>
      <c r="C96" t="s">
        <v>188</v>
      </c>
      <c r="D96" t="s">
        <v>189</v>
      </c>
      <c r="E96" t="s">
        <v>342</v>
      </c>
      <c r="G96" t="s">
        <v>341</v>
      </c>
      <c r="H96" s="82"/>
      <c r="I96" s="1"/>
      <c r="J96" s="1"/>
      <c r="K96" s="1"/>
    </row>
    <row r="97" spans="1:11" ht="12.75" customHeight="1">
      <c r="A97">
        <v>60</v>
      </c>
      <c r="B97">
        <v>9</v>
      </c>
      <c r="C97" t="s">
        <v>188</v>
      </c>
      <c r="D97" t="s">
        <v>189</v>
      </c>
      <c r="E97" t="s">
        <v>342</v>
      </c>
      <c r="G97" t="s">
        <v>341</v>
      </c>
      <c r="H97" s="1"/>
      <c r="I97" s="1"/>
      <c r="J97" s="1"/>
      <c r="K97" s="1"/>
    </row>
    <row r="98" spans="1:11" ht="12.75" customHeight="1">
      <c r="A98">
        <v>61</v>
      </c>
      <c r="B98">
        <v>9</v>
      </c>
      <c r="C98" t="s">
        <v>188</v>
      </c>
      <c r="D98" t="s">
        <v>189</v>
      </c>
      <c r="E98" t="s">
        <v>342</v>
      </c>
      <c r="G98" t="s">
        <v>341</v>
      </c>
      <c r="H98" s="1"/>
      <c r="I98" s="1"/>
      <c r="J98" s="1"/>
      <c r="K98" s="1"/>
    </row>
    <row r="99" spans="1:11">
      <c r="A99">
        <v>62</v>
      </c>
      <c r="B99">
        <v>9</v>
      </c>
      <c r="C99" t="s">
        <v>188</v>
      </c>
      <c r="D99" t="s">
        <v>189</v>
      </c>
      <c r="E99" t="s">
        <v>342</v>
      </c>
      <c r="G99" t="s">
        <v>341</v>
      </c>
    </row>
    <row r="110" spans="1:11">
      <c r="H110" s="28"/>
      <c r="I110" s="107" t="s">
        <v>110</v>
      </c>
      <c r="J110" s="107"/>
      <c r="K110" s="107"/>
    </row>
    <row r="111" spans="1:11">
      <c r="H111" s="96" t="s">
        <v>28</v>
      </c>
      <c r="I111" s="107"/>
      <c r="J111" s="107"/>
      <c r="K111" s="107"/>
    </row>
    <row r="112" spans="1:11" ht="25.5">
      <c r="H112" s="96" t="s">
        <v>29</v>
      </c>
      <c r="I112" s="108" t="s">
        <v>111</v>
      </c>
      <c r="J112" s="109" t="s">
        <v>112</v>
      </c>
      <c r="K112" s="109" t="s">
        <v>113</v>
      </c>
    </row>
    <row r="113" spans="8:11">
      <c r="H113" s="96" t="s">
        <v>30</v>
      </c>
      <c r="I113" s="110"/>
      <c r="J113" s="111"/>
      <c r="K113" s="111"/>
    </row>
    <row r="114" spans="8:11">
      <c r="H114" s="96" t="s">
        <v>31</v>
      </c>
      <c r="I114" s="110"/>
      <c r="J114" s="111"/>
      <c r="K114" s="111"/>
    </row>
    <row r="115" spans="8:11">
      <c r="H115" s="99" t="s">
        <v>34</v>
      </c>
      <c r="I115" s="110"/>
      <c r="J115" s="111"/>
      <c r="K115" s="111"/>
    </row>
    <row r="116" spans="8:11">
      <c r="H116" s="99" t="s">
        <v>33</v>
      </c>
      <c r="I116" s="110"/>
      <c r="J116" s="111"/>
      <c r="K116" s="111"/>
    </row>
    <row r="117" spans="8:11">
      <c r="H117" s="28"/>
      <c r="I117" s="110"/>
      <c r="J117" s="111"/>
      <c r="K117" s="111"/>
    </row>
    <row r="118" spans="8:11">
      <c r="H118" s="28"/>
      <c r="I118" s="110"/>
      <c r="J118" s="111"/>
      <c r="K118" s="111"/>
    </row>
    <row r="119" spans="8:11">
      <c r="H119" s="28"/>
      <c r="I119" s="110"/>
      <c r="J119" s="111"/>
      <c r="K119" s="111"/>
    </row>
    <row r="120" spans="8:11">
      <c r="H120" s="28"/>
      <c r="I120" s="110"/>
      <c r="J120" s="111"/>
      <c r="K120" s="111"/>
    </row>
    <row r="121" spans="8:11">
      <c r="H121" s="28"/>
      <c r="I121" s="110"/>
      <c r="J121" s="111"/>
      <c r="K121" s="111"/>
    </row>
    <row r="122" spans="8:11">
      <c r="H122" s="28"/>
      <c r="I122" s="110"/>
      <c r="J122" s="111"/>
      <c r="K122" s="111"/>
    </row>
    <row r="123" spans="8:11">
      <c r="H123" s="28"/>
      <c r="I123" s="110"/>
      <c r="J123" s="111"/>
      <c r="K123" s="111"/>
    </row>
    <row r="124" spans="8:11">
      <c r="H124" s="28"/>
      <c r="I124" s="110"/>
      <c r="J124" s="111"/>
      <c r="K124" s="111"/>
    </row>
    <row r="125" spans="8:11">
      <c r="H125" s="28"/>
      <c r="I125" s="110"/>
      <c r="J125" s="111"/>
      <c r="K125" s="111"/>
    </row>
    <row r="126" spans="8:11">
      <c r="H126" s="28"/>
      <c r="I126" s="110"/>
      <c r="J126" s="111"/>
      <c r="K126" s="111"/>
    </row>
    <row r="127" spans="8:11">
      <c r="H127" s="28"/>
      <c r="I127" s="110"/>
      <c r="J127" s="111"/>
      <c r="K127" s="111"/>
    </row>
    <row r="128" spans="8:11">
      <c r="H128" s="28"/>
      <c r="I128" s="110"/>
      <c r="J128" s="111"/>
      <c r="K128" s="111"/>
    </row>
    <row r="129" spans="8:11">
      <c r="H129" s="28"/>
      <c r="I129" s="110"/>
      <c r="J129" s="111"/>
      <c r="K129" s="111"/>
    </row>
    <row r="130" spans="8:11">
      <c r="H130" s="28"/>
      <c r="I130" s="110"/>
      <c r="J130" s="111"/>
      <c r="K130" s="111"/>
    </row>
    <row r="131" spans="8:11">
      <c r="H131" s="28"/>
      <c r="I131" s="110"/>
      <c r="J131" s="111"/>
      <c r="K131" s="111"/>
    </row>
    <row r="132" spans="8:11">
      <c r="H132" s="28"/>
      <c r="I132" s="110"/>
      <c r="J132" s="111"/>
      <c r="K132" s="111"/>
    </row>
    <row r="133" spans="8:11">
      <c r="H133" s="28"/>
      <c r="I133" s="110"/>
      <c r="J133" s="111"/>
      <c r="K133" s="111"/>
    </row>
    <row r="134" spans="8:11">
      <c r="H134" s="28"/>
      <c r="I134" s="110"/>
      <c r="J134" s="111"/>
      <c r="K134" s="111"/>
    </row>
    <row r="135" spans="8:11">
      <c r="H135" s="28"/>
      <c r="I135" s="110"/>
      <c r="J135" s="111"/>
      <c r="K135" s="111"/>
    </row>
    <row r="136" spans="8:11">
      <c r="H136" s="28"/>
      <c r="I136" s="110"/>
      <c r="J136" s="111"/>
      <c r="K136" s="111"/>
    </row>
    <row r="137" spans="8:11">
      <c r="H137" s="28"/>
      <c r="I137" s="110"/>
      <c r="J137" s="111"/>
      <c r="K137" s="111"/>
    </row>
    <row r="138" spans="8:11">
      <c r="H138" s="28"/>
      <c r="I138" s="110"/>
      <c r="J138" s="111"/>
      <c r="K138" s="111"/>
    </row>
    <row r="139" spans="8:11">
      <c r="H139" s="28"/>
      <c r="I139" s="110"/>
      <c r="J139" s="111"/>
      <c r="K139" s="111"/>
    </row>
    <row r="140" spans="8:11">
      <c r="H140" s="28"/>
      <c r="I140" s="110"/>
      <c r="J140" s="111"/>
      <c r="K140" s="111"/>
    </row>
    <row r="141" spans="8:11">
      <c r="H141" s="28"/>
      <c r="I141" s="107"/>
      <c r="J141" s="112"/>
      <c r="K141" s="112"/>
    </row>
    <row r="142" spans="8:11">
      <c r="H142" s="28"/>
      <c r="I142" s="107"/>
      <c r="J142" s="112"/>
      <c r="K142" s="112"/>
    </row>
    <row r="143" spans="8:11">
      <c r="H143" s="28"/>
      <c r="I143" s="107"/>
      <c r="J143" s="112"/>
      <c r="K143" s="112"/>
    </row>
    <row r="144" spans="8:11">
      <c r="H144" s="28"/>
      <c r="I144" s="107"/>
      <c r="J144" s="112"/>
      <c r="K144" s="112"/>
    </row>
    <row r="145" spans="8:11">
      <c r="H145" s="28"/>
      <c r="I145" s="107"/>
      <c r="J145" s="112"/>
      <c r="K145" s="112"/>
    </row>
    <row r="146" spans="8:11">
      <c r="H146" s="28"/>
      <c r="I146" s="107"/>
      <c r="J146" s="112"/>
      <c r="K146" s="112"/>
    </row>
    <row r="147" spans="8:11">
      <c r="H147" s="28"/>
      <c r="I147" s="107"/>
      <c r="J147" s="112"/>
      <c r="K147" s="112"/>
    </row>
    <row r="148" spans="8:11">
      <c r="H148" s="28"/>
      <c r="I148" s="107"/>
      <c r="J148" s="112"/>
      <c r="K148" s="112"/>
    </row>
    <row r="149" spans="8:11">
      <c r="H149" s="28"/>
      <c r="I149" s="107"/>
      <c r="J149" s="112"/>
      <c r="K149" s="112"/>
    </row>
    <row r="150" spans="8:11">
      <c r="H150" s="28"/>
      <c r="I150" s="107"/>
      <c r="J150" s="112"/>
      <c r="K150" s="112"/>
    </row>
    <row r="151" spans="8:11">
      <c r="H151" s="28"/>
      <c r="I151" s="107"/>
      <c r="J151" s="112"/>
      <c r="K151" s="112"/>
    </row>
    <row r="152" spans="8:11">
      <c r="H152" s="28"/>
      <c r="I152" s="107"/>
      <c r="J152" s="112"/>
      <c r="K152" s="112"/>
    </row>
    <row r="153" spans="8:11">
      <c r="H153" s="28"/>
      <c r="I153" s="107"/>
      <c r="J153" s="112"/>
      <c r="K153" s="112"/>
    </row>
    <row r="154" spans="8:11">
      <c r="H154" s="28"/>
      <c r="I154" s="107"/>
      <c r="J154" s="112"/>
      <c r="K154" s="112"/>
    </row>
    <row r="155" spans="8:11">
      <c r="H155" s="28"/>
      <c r="I155" s="107"/>
      <c r="J155" s="112"/>
      <c r="K155" s="112"/>
    </row>
    <row r="156" spans="8:11">
      <c r="H156" s="28"/>
      <c r="I156" s="107"/>
      <c r="J156" s="112"/>
      <c r="K156" s="112"/>
    </row>
    <row r="157" spans="8:11">
      <c r="H157" s="28"/>
      <c r="I157" s="107"/>
      <c r="J157" s="112"/>
      <c r="K157" s="112"/>
    </row>
    <row r="158" spans="8:11">
      <c r="H158" s="28"/>
      <c r="I158" s="107"/>
      <c r="J158" s="112"/>
      <c r="K158" s="112"/>
    </row>
    <row r="159" spans="8:11">
      <c r="H159" s="28"/>
      <c r="I159" s="107"/>
      <c r="J159" s="112"/>
      <c r="K159" s="112"/>
    </row>
    <row r="160" spans="8:11">
      <c r="H160" s="28"/>
      <c r="I160" s="107"/>
      <c r="J160" s="112"/>
      <c r="K160" s="112"/>
    </row>
    <row r="161" spans="8:11">
      <c r="H161" s="28"/>
      <c r="I161" s="107"/>
      <c r="J161" s="112"/>
      <c r="K161" s="112"/>
    </row>
    <row r="162" spans="8:11">
      <c r="H162" s="28"/>
      <c r="I162" s="107"/>
      <c r="J162" s="112"/>
      <c r="K162" s="112"/>
    </row>
    <row r="163" spans="8:11">
      <c r="I163" s="107"/>
      <c r="J163" s="112"/>
      <c r="K163" s="112"/>
    </row>
    <row r="164" spans="8:11">
      <c r="I164" s="107"/>
      <c r="J164" s="112"/>
      <c r="K164" s="112"/>
    </row>
    <row r="165" spans="8:11">
      <c r="I165" s="107"/>
      <c r="J165" s="112"/>
      <c r="K165" s="112"/>
    </row>
    <row r="166" spans="8:11">
      <c r="I166" s="107"/>
      <c r="J166" s="112"/>
      <c r="K166" s="112"/>
    </row>
    <row r="167" spans="8:11">
      <c r="I167" s="107"/>
      <c r="J167" s="112"/>
      <c r="K167" s="112"/>
    </row>
    <row r="168" spans="8:11">
      <c r="I168" s="107"/>
      <c r="J168" s="112"/>
      <c r="K168" s="112"/>
    </row>
    <row r="169" spans="8:11">
      <c r="I169" s="107"/>
      <c r="J169" s="112"/>
      <c r="K169" s="112"/>
    </row>
    <row r="200" spans="33:40">
      <c r="AG200"/>
      <c r="AH200"/>
      <c r="AI200"/>
      <c r="AJ200"/>
      <c r="AK200"/>
      <c r="AL200"/>
      <c r="AM200"/>
      <c r="AN200"/>
    </row>
    <row r="201" spans="33:40">
      <c r="AG201"/>
      <c r="AH201"/>
      <c r="AI201"/>
      <c r="AJ201"/>
      <c r="AK201"/>
      <c r="AL201"/>
      <c r="AM201"/>
      <c r="AN201"/>
    </row>
    <row r="202" spans="33:40">
      <c r="AG202"/>
      <c r="AH202"/>
      <c r="AI202"/>
      <c r="AJ202"/>
      <c r="AK202"/>
      <c r="AL202"/>
      <c r="AM202"/>
      <c r="AN202"/>
    </row>
    <row r="203" spans="33:40">
      <c r="AG203"/>
      <c r="AH203"/>
      <c r="AI203"/>
      <c r="AJ203"/>
      <c r="AK203"/>
      <c r="AL203"/>
      <c r="AM203"/>
      <c r="AN203"/>
    </row>
    <row r="204" spans="33:40">
      <c r="AG204"/>
      <c r="AH204"/>
      <c r="AI204"/>
      <c r="AJ204"/>
      <c r="AK204"/>
      <c r="AL204"/>
      <c r="AM204"/>
      <c r="AN204"/>
    </row>
    <row r="205" spans="33:40">
      <c r="AG205"/>
      <c r="AH205"/>
      <c r="AI205"/>
      <c r="AJ205"/>
      <c r="AK205"/>
      <c r="AL205"/>
      <c r="AM205"/>
      <c r="AN205"/>
    </row>
    <row r="206" spans="33:40">
      <c r="AG206"/>
      <c r="AH206"/>
      <c r="AI206"/>
      <c r="AJ206"/>
      <c r="AK206"/>
      <c r="AL206"/>
      <c r="AM206"/>
      <c r="AN206"/>
    </row>
    <row r="207" spans="33:40">
      <c r="AG207"/>
      <c r="AH207"/>
      <c r="AI207"/>
      <c r="AJ207"/>
      <c r="AK207"/>
      <c r="AL207"/>
      <c r="AM207"/>
      <c r="AN207"/>
    </row>
    <row r="208" spans="33:40">
      <c r="AG208"/>
      <c r="AH208"/>
      <c r="AI208"/>
      <c r="AJ208"/>
      <c r="AK208"/>
      <c r="AL208"/>
      <c r="AM208"/>
      <c r="AN208"/>
    </row>
    <row r="209" spans="33:40">
      <c r="AG209"/>
      <c r="AH209"/>
      <c r="AI209"/>
      <c r="AJ209"/>
      <c r="AK209"/>
      <c r="AL209"/>
      <c r="AM209"/>
      <c r="AN209"/>
    </row>
    <row r="210" spans="33:40">
      <c r="AG210"/>
      <c r="AH210"/>
      <c r="AI210"/>
      <c r="AJ210"/>
      <c r="AK210"/>
      <c r="AL210"/>
      <c r="AM210"/>
      <c r="AN210"/>
    </row>
    <row r="211" spans="33:40">
      <c r="AG211"/>
      <c r="AH211"/>
      <c r="AI211"/>
      <c r="AJ211"/>
      <c r="AK211"/>
      <c r="AL211"/>
      <c r="AM211"/>
      <c r="AN211"/>
    </row>
    <row r="212" spans="33:40">
      <c r="AG212"/>
      <c r="AH212"/>
      <c r="AI212"/>
      <c r="AJ212"/>
      <c r="AK212"/>
      <c r="AL212"/>
      <c r="AM212"/>
      <c r="AN212"/>
    </row>
    <row r="213" spans="33:40">
      <c r="AG213"/>
      <c r="AH213"/>
      <c r="AI213"/>
      <c r="AJ213"/>
      <c r="AK213"/>
      <c r="AL213"/>
      <c r="AM213"/>
      <c r="AN213"/>
    </row>
    <row r="214" spans="33:40">
      <c r="AG214"/>
      <c r="AH214"/>
      <c r="AI214"/>
      <c r="AJ214"/>
      <c r="AK214"/>
      <c r="AL214"/>
      <c r="AM214"/>
      <c r="AN214"/>
    </row>
    <row r="215" spans="33:40">
      <c r="AG215"/>
      <c r="AH215"/>
      <c r="AI215"/>
      <c r="AJ215"/>
      <c r="AK215"/>
      <c r="AL215"/>
      <c r="AM215"/>
      <c r="AN215"/>
    </row>
    <row r="216" spans="33:40">
      <c r="AG216"/>
      <c r="AH216"/>
      <c r="AI216"/>
      <c r="AJ216"/>
      <c r="AK216"/>
      <c r="AL216"/>
      <c r="AM216"/>
      <c r="AN216"/>
    </row>
    <row r="217" spans="33:40">
      <c r="AG217"/>
      <c r="AH217"/>
      <c r="AI217"/>
      <c r="AJ217"/>
      <c r="AK217"/>
      <c r="AL217"/>
      <c r="AM217"/>
      <c r="AN217"/>
    </row>
    <row r="218" spans="33:40">
      <c r="AG218"/>
      <c r="AH218"/>
      <c r="AI218"/>
      <c r="AJ218"/>
      <c r="AK218"/>
      <c r="AL218"/>
      <c r="AM218"/>
      <c r="AN218"/>
    </row>
    <row r="219" spans="33:40">
      <c r="AG219"/>
      <c r="AH219"/>
      <c r="AI219"/>
      <c r="AJ219"/>
      <c r="AK219"/>
      <c r="AL219"/>
      <c r="AM219"/>
      <c r="AN219"/>
    </row>
    <row r="220" spans="33:40">
      <c r="AG220"/>
      <c r="AH220"/>
      <c r="AI220"/>
      <c r="AJ220"/>
      <c r="AK220"/>
      <c r="AL220"/>
      <c r="AM220"/>
      <c r="AN220"/>
    </row>
    <row r="221" spans="33:40">
      <c r="AG221"/>
      <c r="AH221"/>
      <c r="AI221"/>
      <c r="AJ221"/>
      <c r="AK221"/>
      <c r="AL221"/>
      <c r="AM221"/>
      <c r="AN221"/>
    </row>
    <row r="222" spans="33:40">
      <c r="AG222"/>
      <c r="AH222"/>
      <c r="AI222"/>
      <c r="AJ222"/>
      <c r="AK222"/>
      <c r="AL222"/>
      <c r="AM222"/>
      <c r="AN222"/>
    </row>
    <row r="223" spans="33:40">
      <c r="AG223"/>
      <c r="AH223"/>
      <c r="AI223"/>
      <c r="AJ223"/>
      <c r="AK223"/>
      <c r="AL223"/>
      <c r="AM223"/>
      <c r="AN223"/>
    </row>
    <row r="224" spans="33:40">
      <c r="AG224"/>
      <c r="AH224"/>
      <c r="AI224"/>
      <c r="AJ224"/>
      <c r="AK224"/>
      <c r="AL224"/>
      <c r="AM224"/>
      <c r="AN224"/>
    </row>
    <row r="225" spans="33:40">
      <c r="AG225"/>
      <c r="AH225"/>
      <c r="AI225"/>
      <c r="AJ225"/>
      <c r="AK225"/>
      <c r="AL225"/>
      <c r="AM225"/>
      <c r="AN225"/>
    </row>
    <row r="226" spans="33:40">
      <c r="AG226"/>
      <c r="AH226"/>
      <c r="AI226"/>
      <c r="AJ226"/>
      <c r="AK226"/>
      <c r="AL226"/>
      <c r="AM226"/>
      <c r="AN226"/>
    </row>
    <row r="227" spans="33:40">
      <c r="AG227"/>
      <c r="AH227"/>
      <c r="AI227"/>
      <c r="AJ227"/>
      <c r="AK227"/>
      <c r="AL227"/>
      <c r="AM227"/>
      <c r="AN227"/>
    </row>
    <row r="228" spans="33:40">
      <c r="AG228"/>
      <c r="AH228"/>
      <c r="AI228"/>
      <c r="AJ228"/>
      <c r="AK228"/>
      <c r="AL228"/>
      <c r="AM228"/>
      <c r="AN228"/>
    </row>
    <row r="229" spans="33:40">
      <c r="AG229"/>
      <c r="AH229"/>
      <c r="AI229"/>
      <c r="AJ229"/>
      <c r="AK229"/>
      <c r="AL229"/>
      <c r="AM229"/>
      <c r="AN229"/>
    </row>
    <row r="230" spans="33:40">
      <c r="AG230"/>
      <c r="AH230"/>
      <c r="AI230"/>
      <c r="AJ230"/>
      <c r="AK230"/>
      <c r="AL230"/>
      <c r="AM230"/>
      <c r="AN230"/>
    </row>
    <row r="231" spans="33:40">
      <c r="AG231"/>
      <c r="AH231"/>
      <c r="AI231"/>
      <c r="AJ231"/>
      <c r="AK231"/>
      <c r="AL231"/>
      <c r="AM231"/>
      <c r="AN231"/>
    </row>
    <row r="232" spans="33:40">
      <c r="AG232"/>
      <c r="AH232"/>
      <c r="AI232"/>
      <c r="AJ232"/>
      <c r="AK232"/>
      <c r="AL232"/>
      <c r="AM232"/>
      <c r="AN232"/>
    </row>
    <row r="233" spans="33:40">
      <c r="AG233"/>
      <c r="AH233"/>
      <c r="AI233"/>
      <c r="AJ233"/>
      <c r="AK233"/>
      <c r="AL233"/>
      <c r="AM233"/>
      <c r="AN233"/>
    </row>
    <row r="234" spans="33:40">
      <c r="AG234"/>
      <c r="AH234"/>
      <c r="AI234"/>
      <c r="AJ234"/>
      <c r="AK234"/>
      <c r="AL234"/>
      <c r="AM234"/>
      <c r="AN234"/>
    </row>
    <row r="235" spans="33:40">
      <c r="AG235"/>
      <c r="AH235"/>
      <c r="AI235"/>
      <c r="AJ235"/>
      <c r="AK235"/>
      <c r="AL235"/>
      <c r="AM235"/>
      <c r="AN235"/>
    </row>
    <row r="236" spans="33:40">
      <c r="AG236"/>
      <c r="AH236"/>
      <c r="AI236"/>
      <c r="AJ236"/>
      <c r="AK236"/>
      <c r="AL236"/>
      <c r="AM236"/>
      <c r="AN236"/>
    </row>
    <row r="237" spans="33:40">
      <c r="AG237"/>
      <c r="AH237"/>
      <c r="AI237"/>
      <c r="AJ237"/>
      <c r="AK237"/>
      <c r="AL237"/>
      <c r="AM237"/>
      <c r="AN237"/>
    </row>
    <row r="238" spans="33:40">
      <c r="AG238"/>
      <c r="AH238"/>
      <c r="AI238"/>
      <c r="AJ238"/>
      <c r="AK238"/>
      <c r="AL238"/>
      <c r="AM238"/>
      <c r="AN238"/>
    </row>
    <row r="239" spans="33:40">
      <c r="AG239"/>
      <c r="AH239"/>
      <c r="AI239"/>
      <c r="AJ239"/>
      <c r="AK239"/>
      <c r="AL239"/>
      <c r="AM239"/>
      <c r="AN239"/>
    </row>
    <row r="240" spans="33:40">
      <c r="AG240"/>
      <c r="AH240"/>
      <c r="AI240"/>
      <c r="AJ240"/>
      <c r="AK240"/>
      <c r="AL240"/>
      <c r="AM240"/>
      <c r="AN240"/>
    </row>
    <row r="241" spans="33:40">
      <c r="AG241"/>
      <c r="AH241"/>
      <c r="AI241"/>
      <c r="AJ241"/>
      <c r="AK241"/>
      <c r="AL241"/>
      <c r="AM241"/>
      <c r="AN241"/>
    </row>
    <row r="242" spans="33:40">
      <c r="AG242"/>
      <c r="AH242"/>
      <c r="AI242"/>
      <c r="AJ242"/>
      <c r="AK242"/>
      <c r="AL242"/>
      <c r="AM242"/>
      <c r="AN242"/>
    </row>
    <row r="243" spans="33:40">
      <c r="AG243"/>
      <c r="AH243"/>
      <c r="AI243"/>
      <c r="AJ243"/>
      <c r="AK243"/>
      <c r="AL243"/>
      <c r="AM243"/>
      <c r="AN243"/>
    </row>
    <row r="244" spans="33:40">
      <c r="AG244"/>
      <c r="AH244"/>
      <c r="AI244"/>
      <c r="AJ244"/>
      <c r="AK244"/>
      <c r="AL244"/>
      <c r="AM244"/>
      <c r="AN244"/>
    </row>
    <row r="245" spans="33:40">
      <c r="AG245"/>
      <c r="AH245"/>
      <c r="AI245"/>
      <c r="AJ245"/>
      <c r="AK245"/>
      <c r="AL245"/>
      <c r="AM245"/>
      <c r="AN245"/>
    </row>
    <row r="246" spans="33:40">
      <c r="AG246"/>
      <c r="AH246"/>
      <c r="AI246"/>
      <c r="AJ246"/>
      <c r="AK246"/>
      <c r="AL246"/>
      <c r="AM246"/>
      <c r="AN246"/>
    </row>
    <row r="247" spans="33:40">
      <c r="AG247"/>
      <c r="AH247"/>
      <c r="AI247"/>
      <c r="AJ247"/>
      <c r="AK247"/>
      <c r="AL247"/>
      <c r="AM247"/>
      <c r="AN247"/>
    </row>
    <row r="248" spans="33:40">
      <c r="AG248"/>
      <c r="AH248"/>
      <c r="AI248"/>
      <c r="AJ248"/>
      <c r="AK248"/>
      <c r="AL248"/>
      <c r="AM248"/>
      <c r="AN248"/>
    </row>
    <row r="249" spans="33:40">
      <c r="AG249"/>
      <c r="AH249"/>
      <c r="AI249"/>
      <c r="AJ249"/>
      <c r="AK249"/>
      <c r="AL249"/>
      <c r="AM249"/>
      <c r="AN249"/>
    </row>
    <row r="250" spans="33:40">
      <c r="AG250"/>
      <c r="AH250"/>
      <c r="AI250"/>
      <c r="AJ250"/>
      <c r="AK250"/>
      <c r="AL250"/>
      <c r="AM250"/>
      <c r="AN250"/>
    </row>
    <row r="251" spans="33:40">
      <c r="AG251"/>
      <c r="AH251"/>
      <c r="AI251"/>
      <c r="AJ251"/>
      <c r="AK251"/>
      <c r="AL251"/>
      <c r="AM251"/>
      <c r="AN251"/>
    </row>
    <row r="252" spans="33:40">
      <c r="AG252"/>
      <c r="AH252"/>
      <c r="AI252"/>
      <c r="AJ252"/>
      <c r="AK252"/>
      <c r="AL252"/>
      <c r="AM252"/>
      <c r="AN252"/>
    </row>
    <row r="253" spans="33:40">
      <c r="AG253"/>
      <c r="AH253"/>
      <c r="AI253"/>
      <c r="AJ253"/>
      <c r="AK253"/>
      <c r="AL253"/>
      <c r="AM253"/>
      <c r="AN253"/>
    </row>
    <row r="254" spans="33:40">
      <c r="AG254"/>
      <c r="AH254"/>
      <c r="AI254"/>
      <c r="AJ254"/>
      <c r="AK254"/>
      <c r="AL254"/>
      <c r="AM254"/>
      <c r="AN254"/>
    </row>
    <row r="255" spans="33:40">
      <c r="AG255"/>
      <c r="AH255"/>
      <c r="AI255"/>
      <c r="AJ255"/>
      <c r="AK255"/>
      <c r="AL255"/>
      <c r="AM255"/>
      <c r="AN255"/>
    </row>
    <row r="256" spans="33:40">
      <c r="AG256"/>
      <c r="AH256"/>
      <c r="AI256"/>
      <c r="AJ256"/>
      <c r="AK256"/>
      <c r="AL256"/>
      <c r="AM256"/>
      <c r="AN256"/>
    </row>
    <row r="257" spans="33:40">
      <c r="AG257"/>
      <c r="AH257"/>
      <c r="AI257"/>
      <c r="AJ257"/>
      <c r="AK257"/>
      <c r="AL257"/>
      <c r="AM257"/>
      <c r="AN257"/>
    </row>
    <row r="258" spans="33:40">
      <c r="AG258"/>
      <c r="AH258"/>
      <c r="AI258"/>
      <c r="AJ258"/>
      <c r="AK258"/>
      <c r="AL258"/>
      <c r="AM258"/>
      <c r="AN258"/>
    </row>
    <row r="259" spans="33:40">
      <c r="AG259"/>
      <c r="AH259"/>
      <c r="AI259"/>
      <c r="AJ259"/>
      <c r="AK259"/>
      <c r="AL259"/>
      <c r="AM259"/>
      <c r="AN259"/>
    </row>
    <row r="260" spans="33:40">
      <c r="AG260"/>
      <c r="AH260"/>
      <c r="AI260"/>
      <c r="AJ260"/>
      <c r="AK260"/>
      <c r="AL260"/>
      <c r="AM260"/>
      <c r="AN260"/>
    </row>
    <row r="261" spans="33:40">
      <c r="AG261"/>
      <c r="AH261"/>
      <c r="AI261"/>
      <c r="AJ261"/>
      <c r="AK261"/>
      <c r="AL261"/>
      <c r="AM261"/>
      <c r="AN261"/>
    </row>
    <row r="262" spans="33:40">
      <c r="AG262"/>
      <c r="AH262"/>
      <c r="AI262"/>
      <c r="AJ262"/>
      <c r="AK262"/>
      <c r="AL262"/>
      <c r="AM262"/>
      <c r="AN262"/>
    </row>
    <row r="263" spans="33:40">
      <c r="AG263"/>
      <c r="AH263"/>
      <c r="AI263"/>
      <c r="AJ263"/>
      <c r="AK263"/>
      <c r="AL263"/>
      <c r="AM263"/>
      <c r="AN263"/>
    </row>
    <row r="264" spans="33:40">
      <c r="AG264"/>
      <c r="AH264"/>
      <c r="AI264"/>
      <c r="AJ264"/>
      <c r="AK264"/>
      <c r="AL264"/>
      <c r="AM264"/>
      <c r="AN264"/>
    </row>
    <row r="265" spans="33:40">
      <c r="AG265"/>
      <c r="AH265"/>
      <c r="AI265"/>
      <c r="AJ265"/>
      <c r="AK265"/>
      <c r="AL265"/>
      <c r="AM265"/>
      <c r="AN265"/>
    </row>
    <row r="266" spans="33:40">
      <c r="AG266"/>
      <c r="AH266"/>
      <c r="AI266"/>
      <c r="AJ266"/>
      <c r="AK266"/>
      <c r="AL266"/>
      <c r="AM266"/>
      <c r="AN266"/>
    </row>
    <row r="267" spans="33:40">
      <c r="AG267"/>
      <c r="AH267"/>
      <c r="AI267"/>
      <c r="AJ267"/>
      <c r="AK267"/>
      <c r="AL267"/>
      <c r="AM267"/>
      <c r="AN267"/>
    </row>
    <row r="268" spans="33:40">
      <c r="AG268"/>
      <c r="AH268"/>
      <c r="AI268"/>
      <c r="AJ268"/>
      <c r="AK268"/>
      <c r="AL268"/>
      <c r="AM268"/>
      <c r="AN268"/>
    </row>
    <row r="269" spans="33:40">
      <c r="AG269"/>
      <c r="AH269"/>
      <c r="AI269"/>
      <c r="AJ269"/>
      <c r="AK269"/>
      <c r="AL269"/>
      <c r="AM269"/>
      <c r="AN269"/>
    </row>
    <row r="270" spans="33:40">
      <c r="AG270"/>
      <c r="AH270"/>
      <c r="AI270"/>
      <c r="AJ270"/>
      <c r="AK270"/>
      <c r="AL270"/>
      <c r="AM270"/>
      <c r="AN270"/>
    </row>
    <row r="271" spans="33:40">
      <c r="AG271"/>
      <c r="AH271"/>
      <c r="AI271"/>
      <c r="AJ271"/>
      <c r="AK271"/>
      <c r="AL271"/>
      <c r="AM271"/>
      <c r="AN271"/>
    </row>
    <row r="272" spans="33:40">
      <c r="AG272"/>
      <c r="AH272"/>
      <c r="AI272"/>
      <c r="AJ272"/>
      <c r="AK272"/>
      <c r="AL272"/>
      <c r="AM272"/>
      <c r="AN272"/>
    </row>
    <row r="273" spans="33:40">
      <c r="AG273"/>
      <c r="AH273"/>
      <c r="AI273"/>
      <c r="AJ273"/>
      <c r="AK273"/>
      <c r="AL273"/>
      <c r="AM273"/>
      <c r="AN273"/>
    </row>
    <row r="274" spans="33:40">
      <c r="AG274"/>
      <c r="AH274"/>
      <c r="AI274"/>
      <c r="AJ274"/>
      <c r="AK274"/>
      <c r="AL274"/>
      <c r="AM274"/>
      <c r="AN274"/>
    </row>
    <row r="275" spans="33:40">
      <c r="AG275"/>
      <c r="AH275"/>
      <c r="AI275"/>
      <c r="AJ275"/>
      <c r="AK275"/>
      <c r="AL275"/>
      <c r="AM275"/>
      <c r="AN275"/>
    </row>
    <row r="276" spans="33:40">
      <c r="AG276"/>
      <c r="AH276"/>
      <c r="AI276"/>
      <c r="AJ276"/>
      <c r="AK276"/>
      <c r="AL276"/>
      <c r="AM276"/>
      <c r="AN276"/>
    </row>
    <row r="277" spans="33:40">
      <c r="AG277"/>
      <c r="AH277"/>
      <c r="AI277"/>
      <c r="AJ277"/>
      <c r="AK277"/>
      <c r="AL277"/>
      <c r="AM277"/>
      <c r="AN277"/>
    </row>
    <row r="278" spans="33:40">
      <c r="AG278"/>
      <c r="AH278"/>
      <c r="AI278"/>
      <c r="AJ278"/>
      <c r="AK278"/>
      <c r="AL278"/>
      <c r="AM278"/>
      <c r="AN278"/>
    </row>
    <row r="279" spans="33:40">
      <c r="AG279"/>
      <c r="AH279"/>
      <c r="AI279"/>
      <c r="AJ279"/>
      <c r="AK279"/>
      <c r="AL279"/>
      <c r="AM279"/>
      <c r="AN279"/>
    </row>
    <row r="280" spans="33:40">
      <c r="AG280"/>
      <c r="AH280"/>
      <c r="AI280"/>
      <c r="AJ280"/>
      <c r="AK280"/>
      <c r="AL280"/>
      <c r="AM280"/>
      <c r="AN280"/>
    </row>
    <row r="281" spans="33:40">
      <c r="AG281"/>
      <c r="AH281"/>
      <c r="AI281"/>
      <c r="AJ281"/>
      <c r="AK281"/>
      <c r="AL281"/>
      <c r="AM281"/>
      <c r="AN281"/>
    </row>
    <row r="282" spans="33:40">
      <c r="AG282"/>
      <c r="AH282"/>
      <c r="AI282"/>
      <c r="AJ282"/>
      <c r="AK282"/>
      <c r="AL282"/>
      <c r="AM282"/>
      <c r="AN282"/>
    </row>
    <row r="283" spans="33:40">
      <c r="AG283"/>
      <c r="AH283"/>
      <c r="AI283"/>
      <c r="AJ283"/>
      <c r="AK283"/>
      <c r="AL283"/>
      <c r="AM283"/>
      <c r="AN283"/>
    </row>
    <row r="284" spans="33:40">
      <c r="AG284"/>
      <c r="AH284"/>
      <c r="AI284"/>
      <c r="AJ284"/>
      <c r="AK284"/>
      <c r="AL284"/>
      <c r="AM284"/>
      <c r="AN284"/>
    </row>
    <row r="285" spans="33:40">
      <c r="AG285"/>
      <c r="AH285"/>
      <c r="AI285"/>
      <c r="AJ285"/>
      <c r="AK285"/>
      <c r="AL285"/>
      <c r="AM285"/>
      <c r="AN285"/>
    </row>
    <row r="286" spans="33:40">
      <c r="AG286"/>
      <c r="AH286"/>
      <c r="AI286"/>
      <c r="AJ286"/>
      <c r="AK286"/>
      <c r="AL286"/>
      <c r="AM286"/>
      <c r="AN286"/>
    </row>
    <row r="287" spans="33:40">
      <c r="AG287"/>
      <c r="AH287"/>
      <c r="AI287"/>
      <c r="AJ287"/>
      <c r="AK287"/>
      <c r="AL287"/>
      <c r="AM287"/>
      <c r="AN287"/>
    </row>
    <row r="288" spans="33:40">
      <c r="AG288"/>
      <c r="AH288"/>
      <c r="AI288"/>
      <c r="AJ288"/>
      <c r="AK288"/>
      <c r="AL288"/>
      <c r="AM288"/>
      <c r="AN288"/>
    </row>
    <row r="289" spans="33:40">
      <c r="AG289"/>
      <c r="AH289"/>
      <c r="AI289"/>
      <c r="AJ289"/>
      <c r="AK289"/>
      <c r="AL289"/>
      <c r="AM289"/>
      <c r="AN289"/>
    </row>
    <row r="290" spans="33:40">
      <c r="AG290"/>
      <c r="AH290"/>
      <c r="AI290"/>
      <c r="AJ290"/>
      <c r="AK290"/>
      <c r="AL290"/>
      <c r="AM290"/>
      <c r="AN290"/>
    </row>
    <row r="291" spans="33:40">
      <c r="AG291"/>
      <c r="AH291"/>
      <c r="AI291"/>
      <c r="AJ291"/>
      <c r="AK291"/>
      <c r="AL291"/>
      <c r="AM291"/>
      <c r="AN291"/>
    </row>
    <row r="292" spans="33:40">
      <c r="AG292"/>
      <c r="AH292"/>
      <c r="AI292"/>
      <c r="AJ292"/>
      <c r="AK292"/>
      <c r="AL292"/>
      <c r="AM292"/>
      <c r="AN292"/>
    </row>
    <row r="293" spans="33:40">
      <c r="AG293"/>
      <c r="AH293"/>
      <c r="AI293"/>
      <c r="AJ293"/>
      <c r="AK293"/>
      <c r="AL293"/>
      <c r="AM293"/>
      <c r="AN293"/>
    </row>
    <row r="294" spans="33:40">
      <c r="AG294"/>
      <c r="AH294"/>
      <c r="AI294"/>
      <c r="AJ294"/>
      <c r="AK294"/>
      <c r="AL294"/>
      <c r="AM294"/>
      <c r="AN294"/>
    </row>
    <row r="295" spans="33:40">
      <c r="AG295"/>
      <c r="AH295"/>
      <c r="AI295"/>
      <c r="AJ295"/>
      <c r="AK295"/>
      <c r="AL295"/>
      <c r="AM295"/>
      <c r="AN295"/>
    </row>
    <row r="296" spans="33:40">
      <c r="AG296"/>
      <c r="AH296"/>
      <c r="AI296"/>
      <c r="AJ296"/>
      <c r="AK296"/>
      <c r="AL296"/>
      <c r="AM296"/>
      <c r="AN296"/>
    </row>
    <row r="297" spans="33:40">
      <c r="AG297"/>
      <c r="AH297"/>
      <c r="AI297"/>
      <c r="AJ297"/>
      <c r="AK297"/>
      <c r="AL297"/>
      <c r="AM297"/>
      <c r="AN297"/>
    </row>
    <row r="298" spans="33:40">
      <c r="AG298"/>
      <c r="AH298"/>
      <c r="AI298"/>
      <c r="AJ298"/>
      <c r="AK298"/>
      <c r="AL298"/>
      <c r="AM298"/>
      <c r="AN298"/>
    </row>
    <row r="299" spans="33:40">
      <c r="AG299"/>
      <c r="AH299"/>
      <c r="AI299"/>
      <c r="AJ299"/>
      <c r="AK299"/>
      <c r="AL299"/>
      <c r="AM299"/>
      <c r="AN299"/>
    </row>
    <row r="300" spans="33:40">
      <c r="AG300"/>
      <c r="AH300"/>
      <c r="AI300"/>
      <c r="AJ300"/>
      <c r="AK300"/>
      <c r="AL300"/>
      <c r="AM300"/>
      <c r="AN300"/>
    </row>
    <row r="301" spans="33:40">
      <c r="AG301"/>
      <c r="AH301"/>
      <c r="AI301"/>
      <c r="AJ301"/>
      <c r="AK301"/>
      <c r="AL301"/>
      <c r="AM301"/>
      <c r="AN301"/>
    </row>
    <row r="302" spans="33:40">
      <c r="AG302"/>
      <c r="AH302"/>
      <c r="AI302"/>
      <c r="AJ302"/>
      <c r="AK302"/>
      <c r="AL302"/>
      <c r="AM302"/>
      <c r="AN302"/>
    </row>
    <row r="303" spans="33:40">
      <c r="AG303"/>
      <c r="AH303"/>
      <c r="AI303"/>
      <c r="AJ303"/>
      <c r="AK303"/>
      <c r="AL303"/>
      <c r="AM303"/>
      <c r="AN303"/>
    </row>
    <row r="304" spans="33:40">
      <c r="AG304"/>
      <c r="AH304"/>
      <c r="AI304"/>
      <c r="AJ304"/>
      <c r="AK304"/>
      <c r="AL304"/>
      <c r="AM304"/>
      <c r="AN304"/>
    </row>
    <row r="305" spans="33:40">
      <c r="AG305"/>
      <c r="AH305"/>
      <c r="AI305"/>
      <c r="AJ305"/>
      <c r="AK305"/>
      <c r="AL305"/>
      <c r="AM305"/>
      <c r="AN305"/>
    </row>
    <row r="306" spans="33:40">
      <c r="AG306"/>
      <c r="AH306"/>
      <c r="AI306"/>
      <c r="AJ306"/>
      <c r="AK306"/>
      <c r="AL306"/>
      <c r="AM306"/>
      <c r="AN306"/>
    </row>
    <row r="307" spans="33:40">
      <c r="AG307"/>
      <c r="AH307"/>
      <c r="AI307"/>
      <c r="AJ307"/>
      <c r="AK307"/>
      <c r="AL307"/>
      <c r="AM307"/>
      <c r="AN307"/>
    </row>
    <row r="308" spans="33:40">
      <c r="AG308"/>
      <c r="AH308"/>
      <c r="AI308"/>
      <c r="AJ308"/>
      <c r="AK308"/>
      <c r="AL308"/>
      <c r="AM308"/>
      <c r="AN308"/>
    </row>
    <row r="309" spans="33:40">
      <c r="AG309"/>
      <c r="AH309"/>
      <c r="AI309"/>
      <c r="AJ309"/>
      <c r="AK309"/>
      <c r="AL309"/>
      <c r="AM309"/>
      <c r="AN309"/>
    </row>
    <row r="310" spans="33:40">
      <c r="AG310"/>
      <c r="AH310"/>
      <c r="AI310"/>
      <c r="AJ310"/>
      <c r="AK310"/>
      <c r="AL310"/>
      <c r="AM310"/>
      <c r="AN310"/>
    </row>
    <row r="311" spans="33:40">
      <c r="AG311"/>
      <c r="AH311"/>
      <c r="AI311"/>
      <c r="AJ311"/>
      <c r="AK311"/>
      <c r="AL311"/>
      <c r="AM311"/>
      <c r="AN311"/>
    </row>
    <row r="312" spans="33:40">
      <c r="AG312"/>
      <c r="AH312"/>
      <c r="AI312"/>
      <c r="AJ312"/>
      <c r="AK312"/>
      <c r="AL312"/>
      <c r="AM312"/>
      <c r="AN312"/>
    </row>
    <row r="313" spans="33:40">
      <c r="AG313"/>
      <c r="AH313"/>
      <c r="AI313"/>
      <c r="AJ313"/>
      <c r="AK313"/>
      <c r="AL313"/>
      <c r="AM313"/>
      <c r="AN313"/>
    </row>
    <row r="314" spans="33:40">
      <c r="AG314"/>
      <c r="AH314"/>
      <c r="AI314"/>
      <c r="AJ314"/>
      <c r="AK314"/>
      <c r="AL314"/>
      <c r="AM314"/>
      <c r="AN314"/>
    </row>
    <row r="315" spans="33:40">
      <c r="AG315"/>
      <c r="AH315"/>
      <c r="AI315"/>
      <c r="AJ315"/>
      <c r="AK315"/>
      <c r="AL315"/>
      <c r="AM315"/>
      <c r="AN315"/>
    </row>
    <row r="316" spans="33:40">
      <c r="AG316"/>
      <c r="AH316"/>
      <c r="AI316"/>
      <c r="AJ316"/>
      <c r="AK316"/>
      <c r="AL316"/>
      <c r="AM316"/>
      <c r="AN316"/>
    </row>
    <row r="317" spans="33:40">
      <c r="AG317"/>
      <c r="AH317"/>
      <c r="AI317"/>
      <c r="AJ317"/>
      <c r="AK317"/>
      <c r="AL317"/>
      <c r="AM317"/>
      <c r="AN317"/>
    </row>
    <row r="318" spans="33:40">
      <c r="AG318"/>
      <c r="AH318"/>
      <c r="AI318"/>
      <c r="AJ318"/>
      <c r="AK318"/>
      <c r="AL318"/>
      <c r="AM318"/>
      <c r="AN318"/>
    </row>
    <row r="319" spans="33:40">
      <c r="AG319"/>
      <c r="AH319"/>
      <c r="AI319"/>
      <c r="AJ319"/>
      <c r="AK319"/>
      <c r="AL319"/>
      <c r="AM319"/>
      <c r="AN319"/>
    </row>
    <row r="320" spans="33:40">
      <c r="AG320"/>
      <c r="AH320"/>
      <c r="AI320"/>
      <c r="AJ320"/>
      <c r="AK320"/>
      <c r="AL320"/>
      <c r="AM320"/>
      <c r="AN320"/>
    </row>
    <row r="321" spans="33:40">
      <c r="AG321"/>
      <c r="AH321"/>
      <c r="AI321"/>
      <c r="AJ321"/>
      <c r="AK321"/>
      <c r="AL321"/>
      <c r="AM321"/>
      <c r="AN321"/>
    </row>
    <row r="322" spans="33:40">
      <c r="AG322"/>
      <c r="AH322"/>
      <c r="AI322"/>
      <c r="AJ322"/>
      <c r="AK322"/>
      <c r="AL322"/>
      <c r="AM322"/>
      <c r="AN322"/>
    </row>
    <row r="323" spans="33:40">
      <c r="AG323"/>
      <c r="AH323"/>
      <c r="AI323"/>
      <c r="AJ323"/>
      <c r="AK323"/>
      <c r="AL323"/>
      <c r="AM323"/>
      <c r="AN323"/>
    </row>
    <row r="324" spans="33:40">
      <c r="AG324"/>
      <c r="AH324"/>
      <c r="AI324"/>
      <c r="AJ324"/>
      <c r="AK324"/>
      <c r="AL324"/>
      <c r="AM324"/>
      <c r="AN324"/>
    </row>
    <row r="325" spans="33:40">
      <c r="AG325"/>
      <c r="AH325"/>
      <c r="AI325"/>
      <c r="AJ325"/>
      <c r="AK325"/>
      <c r="AL325"/>
      <c r="AM325"/>
      <c r="AN325"/>
    </row>
    <row r="326" spans="33:40">
      <c r="AG326"/>
      <c r="AH326"/>
      <c r="AI326"/>
      <c r="AJ326"/>
      <c r="AK326"/>
      <c r="AL326"/>
      <c r="AM326"/>
      <c r="AN326"/>
    </row>
    <row r="327" spans="33:40">
      <c r="AG327"/>
      <c r="AH327"/>
      <c r="AI327"/>
      <c r="AJ327"/>
      <c r="AK327"/>
      <c r="AL327"/>
      <c r="AM327"/>
      <c r="AN327"/>
    </row>
    <row r="328" spans="33:40">
      <c r="AG328"/>
      <c r="AH328"/>
      <c r="AI328"/>
      <c r="AJ328"/>
      <c r="AK328"/>
      <c r="AL328"/>
      <c r="AM328"/>
      <c r="AN328"/>
    </row>
    <row r="329" spans="33:40">
      <c r="AG329"/>
      <c r="AH329"/>
      <c r="AI329"/>
      <c r="AJ329"/>
      <c r="AK329"/>
      <c r="AL329"/>
      <c r="AM329"/>
      <c r="AN329"/>
    </row>
    <row r="330" spans="33:40">
      <c r="AG330"/>
      <c r="AH330"/>
      <c r="AI330"/>
      <c r="AJ330"/>
      <c r="AK330"/>
      <c r="AL330"/>
      <c r="AM330"/>
      <c r="AN330"/>
    </row>
    <row r="331" spans="33:40">
      <c r="AG331"/>
      <c r="AH331"/>
      <c r="AI331"/>
      <c r="AJ331"/>
      <c r="AK331"/>
      <c r="AL331"/>
      <c r="AM331"/>
      <c r="AN331"/>
    </row>
    <row r="332" spans="33:40">
      <c r="AG332"/>
      <c r="AH332"/>
      <c r="AI332"/>
      <c r="AJ332"/>
      <c r="AK332"/>
      <c r="AL332"/>
      <c r="AM332"/>
      <c r="AN332"/>
    </row>
    <row r="333" spans="33:40">
      <c r="AG333"/>
      <c r="AH333"/>
      <c r="AI333"/>
      <c r="AJ333"/>
      <c r="AK333"/>
      <c r="AL333"/>
      <c r="AM333"/>
      <c r="AN333"/>
    </row>
    <row r="334" spans="33:40">
      <c r="AG334"/>
      <c r="AH334"/>
      <c r="AI334"/>
      <c r="AJ334"/>
      <c r="AK334"/>
      <c r="AL334"/>
      <c r="AM334"/>
      <c r="AN334"/>
    </row>
    <row r="335" spans="33:40">
      <c r="AG335"/>
      <c r="AH335"/>
      <c r="AI335"/>
      <c r="AJ335"/>
      <c r="AK335"/>
      <c r="AL335"/>
      <c r="AM335"/>
      <c r="AN335"/>
    </row>
    <row r="336" spans="33:40">
      <c r="AG336"/>
      <c r="AH336"/>
      <c r="AI336"/>
      <c r="AJ336"/>
      <c r="AK336"/>
      <c r="AL336"/>
      <c r="AM336"/>
      <c r="AN336"/>
    </row>
    <row r="337" spans="33:40">
      <c r="AG337"/>
      <c r="AH337"/>
      <c r="AI337"/>
      <c r="AJ337"/>
      <c r="AK337"/>
      <c r="AL337"/>
      <c r="AM337"/>
      <c r="AN337"/>
    </row>
    <row r="338" spans="33:40">
      <c r="AG338"/>
      <c r="AH338"/>
      <c r="AI338"/>
      <c r="AJ338"/>
      <c r="AK338"/>
      <c r="AL338"/>
      <c r="AM338"/>
      <c r="AN338"/>
    </row>
    <row r="339" spans="33:40">
      <c r="AG339"/>
      <c r="AH339"/>
      <c r="AI339"/>
      <c r="AJ339"/>
      <c r="AK339"/>
      <c r="AL339"/>
      <c r="AM339"/>
      <c r="AN339"/>
    </row>
    <row r="340" spans="33:40">
      <c r="AG340"/>
      <c r="AH340"/>
      <c r="AI340"/>
      <c r="AJ340"/>
      <c r="AK340"/>
      <c r="AL340"/>
      <c r="AM340"/>
      <c r="AN340"/>
    </row>
    <row r="341" spans="33:40">
      <c r="AG341"/>
      <c r="AH341"/>
      <c r="AI341"/>
      <c r="AJ341"/>
      <c r="AK341"/>
      <c r="AL341"/>
      <c r="AM341"/>
      <c r="AN341"/>
    </row>
    <row r="342" spans="33:40">
      <c r="AG342"/>
      <c r="AH342"/>
      <c r="AI342"/>
      <c r="AJ342"/>
      <c r="AK342"/>
      <c r="AL342"/>
      <c r="AM342"/>
      <c r="AN342"/>
    </row>
    <row r="343" spans="33:40">
      <c r="AG343"/>
      <c r="AH343"/>
      <c r="AI343"/>
      <c r="AJ343"/>
      <c r="AK343"/>
      <c r="AL343"/>
      <c r="AM343"/>
      <c r="AN343"/>
    </row>
    <row r="344" spans="33:40">
      <c r="AG344"/>
      <c r="AH344"/>
      <c r="AI344"/>
      <c r="AJ344"/>
      <c r="AK344"/>
      <c r="AL344"/>
      <c r="AM344"/>
      <c r="AN344"/>
    </row>
    <row r="345" spans="33:40">
      <c r="AG345"/>
      <c r="AH345"/>
      <c r="AI345"/>
      <c r="AJ345"/>
      <c r="AK345"/>
      <c r="AL345"/>
      <c r="AM345"/>
      <c r="AN345"/>
    </row>
    <row r="346" spans="33:40">
      <c r="AG346"/>
      <c r="AH346"/>
      <c r="AI346"/>
      <c r="AJ346"/>
      <c r="AK346"/>
      <c r="AL346"/>
      <c r="AM346"/>
      <c r="AN346"/>
    </row>
    <row r="347" spans="33:40">
      <c r="AG347"/>
      <c r="AH347"/>
      <c r="AI347"/>
      <c r="AJ347"/>
      <c r="AK347"/>
      <c r="AL347"/>
      <c r="AM347"/>
      <c r="AN347"/>
    </row>
    <row r="348" spans="33:40">
      <c r="AG348"/>
      <c r="AH348"/>
      <c r="AI348"/>
      <c r="AJ348"/>
      <c r="AK348"/>
      <c r="AL348"/>
      <c r="AM348"/>
      <c r="AN348"/>
    </row>
    <row r="349" spans="33:40">
      <c r="AG349"/>
      <c r="AH349"/>
      <c r="AI349"/>
      <c r="AJ349"/>
      <c r="AK349"/>
      <c r="AL349"/>
      <c r="AM349"/>
      <c r="AN349"/>
    </row>
    <row r="350" spans="33:40">
      <c r="AG350"/>
      <c r="AH350"/>
      <c r="AI350"/>
      <c r="AJ350"/>
      <c r="AK350"/>
      <c r="AL350"/>
      <c r="AM350"/>
      <c r="AN350"/>
    </row>
    <row r="351" spans="33:40">
      <c r="AG351"/>
      <c r="AH351"/>
      <c r="AI351"/>
      <c r="AJ351"/>
      <c r="AK351"/>
      <c r="AL351"/>
      <c r="AM351"/>
      <c r="AN351"/>
    </row>
    <row r="352" spans="33:40">
      <c r="AG352"/>
      <c r="AH352"/>
      <c r="AI352"/>
      <c r="AJ352"/>
      <c r="AK352"/>
      <c r="AL352"/>
      <c r="AM352"/>
      <c r="AN352"/>
    </row>
    <row r="353" spans="33:40">
      <c r="AG353"/>
      <c r="AH353"/>
      <c r="AI353"/>
      <c r="AJ353"/>
      <c r="AK353"/>
      <c r="AL353"/>
      <c r="AM353"/>
      <c r="AN353"/>
    </row>
    <row r="354" spans="33:40">
      <c r="AG354"/>
      <c r="AH354"/>
      <c r="AI354"/>
      <c r="AJ354"/>
      <c r="AK354"/>
      <c r="AL354"/>
      <c r="AM354"/>
      <c r="AN354"/>
    </row>
    <row r="355" spans="33:40">
      <c r="AG355"/>
      <c r="AH355"/>
      <c r="AI355"/>
      <c r="AJ355"/>
      <c r="AK355"/>
      <c r="AL355"/>
      <c r="AM355"/>
      <c r="AN355"/>
    </row>
    <row r="356" spans="33:40">
      <c r="AG356"/>
      <c r="AH356"/>
      <c r="AI356"/>
      <c r="AJ356"/>
      <c r="AK356"/>
      <c r="AL356"/>
      <c r="AM356"/>
      <c r="AN356"/>
    </row>
    <row r="357" spans="33:40">
      <c r="AG357"/>
      <c r="AH357"/>
      <c r="AI357"/>
      <c r="AJ357"/>
      <c r="AK357"/>
      <c r="AL357"/>
      <c r="AM357"/>
      <c r="AN357"/>
    </row>
    <row r="358" spans="33:40">
      <c r="AG358"/>
      <c r="AH358"/>
      <c r="AI358"/>
      <c r="AJ358"/>
      <c r="AK358"/>
      <c r="AL358"/>
      <c r="AM358"/>
      <c r="AN358"/>
    </row>
    <row r="359" spans="33:40">
      <c r="AG359"/>
      <c r="AH359"/>
      <c r="AI359"/>
      <c r="AJ359"/>
      <c r="AK359"/>
      <c r="AL359"/>
      <c r="AM359"/>
      <c r="AN359"/>
    </row>
    <row r="360" spans="33:40">
      <c r="AG360"/>
      <c r="AH360"/>
      <c r="AI360"/>
      <c r="AJ360"/>
      <c r="AK360"/>
      <c r="AL360"/>
      <c r="AM360"/>
      <c r="AN360"/>
    </row>
    <row r="361" spans="33:40">
      <c r="AG361"/>
      <c r="AH361"/>
      <c r="AI361"/>
      <c r="AJ361"/>
      <c r="AK361"/>
      <c r="AL361"/>
      <c r="AM361"/>
      <c r="AN361"/>
    </row>
    <row r="362" spans="33:40">
      <c r="AG362"/>
      <c r="AH362"/>
      <c r="AI362"/>
      <c r="AJ362"/>
      <c r="AK362"/>
      <c r="AL362"/>
      <c r="AM362"/>
      <c r="AN362"/>
    </row>
    <row r="363" spans="33:40">
      <c r="AG363"/>
      <c r="AH363"/>
      <c r="AI363"/>
      <c r="AJ363"/>
      <c r="AK363"/>
      <c r="AL363"/>
      <c r="AM363"/>
      <c r="AN363"/>
    </row>
    <row r="364" spans="33:40">
      <c r="AG364"/>
      <c r="AH364"/>
      <c r="AI364"/>
      <c r="AJ364"/>
      <c r="AK364"/>
      <c r="AL364"/>
      <c r="AM364"/>
      <c r="AN364"/>
    </row>
    <row r="365" spans="33:40">
      <c r="AG365"/>
      <c r="AH365"/>
      <c r="AI365"/>
      <c r="AJ365"/>
      <c r="AK365"/>
      <c r="AL365"/>
      <c r="AM365"/>
      <c r="AN365"/>
    </row>
    <row r="366" spans="33:40">
      <c r="AG366"/>
      <c r="AH366"/>
      <c r="AI366"/>
      <c r="AJ366"/>
      <c r="AK366"/>
      <c r="AL366"/>
      <c r="AM366"/>
      <c r="AN366"/>
    </row>
    <row r="367" spans="33:40">
      <c r="AG367"/>
      <c r="AH367"/>
      <c r="AI367"/>
      <c r="AJ367"/>
      <c r="AK367"/>
      <c r="AL367"/>
      <c r="AM367"/>
      <c r="AN367"/>
    </row>
    <row r="368" spans="33:40">
      <c r="AG368"/>
      <c r="AH368"/>
      <c r="AI368"/>
      <c r="AJ368"/>
      <c r="AK368"/>
      <c r="AL368"/>
      <c r="AM368"/>
      <c r="AN368"/>
    </row>
    <row r="369" spans="33:40">
      <c r="AG369"/>
      <c r="AH369"/>
      <c r="AI369"/>
      <c r="AJ369"/>
      <c r="AK369"/>
      <c r="AL369"/>
      <c r="AM369"/>
      <c r="AN369"/>
    </row>
    <row r="370" spans="33:40">
      <c r="AG370"/>
      <c r="AH370"/>
      <c r="AI370"/>
      <c r="AJ370"/>
      <c r="AK370"/>
      <c r="AL370"/>
      <c r="AM370"/>
      <c r="AN370"/>
    </row>
    <row r="371" spans="33:40">
      <c r="AG371"/>
      <c r="AH371"/>
      <c r="AI371"/>
      <c r="AJ371"/>
      <c r="AK371"/>
      <c r="AL371"/>
      <c r="AM371"/>
      <c r="AN371"/>
    </row>
    <row r="372" spans="33:40">
      <c r="AG372"/>
      <c r="AH372"/>
      <c r="AI372"/>
      <c r="AJ372"/>
      <c r="AK372"/>
      <c r="AL372"/>
      <c r="AM372"/>
      <c r="AN372"/>
    </row>
    <row r="373" spans="33:40">
      <c r="AG373"/>
      <c r="AH373"/>
      <c r="AI373"/>
      <c r="AJ373"/>
      <c r="AK373"/>
      <c r="AL373"/>
      <c r="AM373"/>
      <c r="AN373"/>
    </row>
    <row r="374" spans="33:40">
      <c r="AG374"/>
      <c r="AH374"/>
      <c r="AI374"/>
      <c r="AJ374"/>
      <c r="AK374"/>
      <c r="AL374"/>
      <c r="AM374"/>
      <c r="AN374"/>
    </row>
    <row r="375" spans="33:40">
      <c r="AG375"/>
      <c r="AH375"/>
      <c r="AI375"/>
      <c r="AJ375"/>
      <c r="AK375"/>
      <c r="AL375"/>
      <c r="AM375"/>
      <c r="AN375"/>
    </row>
    <row r="376" spans="33:40">
      <c r="AG376"/>
      <c r="AH376"/>
      <c r="AI376"/>
      <c r="AJ376"/>
      <c r="AK376"/>
      <c r="AL376"/>
      <c r="AM376"/>
      <c r="AN376"/>
    </row>
    <row r="377" spans="33:40">
      <c r="AG377"/>
      <c r="AH377"/>
      <c r="AI377"/>
      <c r="AJ377"/>
      <c r="AK377"/>
      <c r="AL377"/>
      <c r="AM377"/>
      <c r="AN377"/>
    </row>
    <row r="378" spans="33:40">
      <c r="AG378"/>
      <c r="AH378"/>
      <c r="AI378"/>
      <c r="AJ378"/>
      <c r="AK378"/>
      <c r="AL378"/>
      <c r="AM378"/>
      <c r="AN378"/>
    </row>
    <row r="379" spans="33:40">
      <c r="AG379"/>
      <c r="AH379"/>
      <c r="AI379"/>
      <c r="AJ379"/>
      <c r="AK379"/>
      <c r="AL379"/>
      <c r="AM379"/>
      <c r="AN379"/>
    </row>
    <row r="380" spans="33:40">
      <c r="AG380"/>
      <c r="AH380"/>
      <c r="AI380"/>
      <c r="AJ380"/>
      <c r="AK380"/>
      <c r="AL380"/>
      <c r="AM380"/>
      <c r="AN380"/>
    </row>
    <row r="381" spans="33:40">
      <c r="AG381"/>
      <c r="AH381"/>
      <c r="AI381"/>
      <c r="AJ381"/>
      <c r="AK381"/>
      <c r="AL381"/>
      <c r="AM381"/>
      <c r="AN381"/>
    </row>
    <row r="382" spans="33:40">
      <c r="AG382"/>
      <c r="AH382"/>
      <c r="AI382"/>
      <c r="AJ382"/>
      <c r="AK382"/>
      <c r="AL382"/>
      <c r="AM382"/>
      <c r="AN382"/>
    </row>
    <row r="383" spans="33:40">
      <c r="AG383"/>
      <c r="AH383"/>
      <c r="AI383"/>
      <c r="AJ383"/>
      <c r="AK383"/>
      <c r="AL383"/>
      <c r="AM383"/>
      <c r="AN383"/>
    </row>
    <row r="384" spans="33:40">
      <c r="AG384"/>
      <c r="AH384"/>
      <c r="AI384"/>
      <c r="AJ384"/>
      <c r="AK384"/>
      <c r="AL384"/>
      <c r="AM384"/>
      <c r="AN384"/>
    </row>
    <row r="385" spans="1:40">
      <c r="AG385"/>
      <c r="AH385"/>
      <c r="AI385"/>
      <c r="AJ385"/>
      <c r="AK385"/>
      <c r="AL385"/>
      <c r="AM385"/>
      <c r="AN385"/>
    </row>
    <row r="386" spans="1:40">
      <c r="AG386"/>
      <c r="AH386"/>
      <c r="AI386"/>
      <c r="AJ386"/>
      <c r="AK386"/>
      <c r="AL386"/>
      <c r="AM386"/>
      <c r="AN386"/>
    </row>
    <row r="387" spans="1:40">
      <c r="AG387"/>
      <c r="AH387"/>
      <c r="AI387"/>
      <c r="AJ387"/>
      <c r="AK387"/>
      <c r="AL387"/>
      <c r="AM387"/>
      <c r="AN387"/>
    </row>
    <row r="388" spans="1:40">
      <c r="AG388"/>
      <c r="AH388"/>
      <c r="AI388"/>
      <c r="AJ388"/>
      <c r="AK388"/>
      <c r="AL388"/>
      <c r="AM388"/>
      <c r="AN388"/>
    </row>
    <row r="389" spans="1:40">
      <c r="AG389"/>
      <c r="AH389"/>
      <c r="AI389"/>
      <c r="AJ389"/>
      <c r="AK389"/>
      <c r="AL389"/>
      <c r="AM389"/>
      <c r="AN389"/>
    </row>
    <row r="390" spans="1:40">
      <c r="AG390"/>
      <c r="AH390"/>
      <c r="AI390"/>
      <c r="AJ390"/>
      <c r="AK390"/>
      <c r="AL390"/>
      <c r="AM390"/>
      <c r="AN390"/>
    </row>
    <row r="391" spans="1:40">
      <c r="AG391"/>
      <c r="AH391"/>
      <c r="AI391"/>
      <c r="AJ391"/>
      <c r="AK391"/>
      <c r="AL391"/>
      <c r="AM391"/>
      <c r="AN391"/>
    </row>
    <row r="392" spans="1:40">
      <c r="AG392"/>
      <c r="AH392"/>
      <c r="AI392"/>
      <c r="AJ392"/>
      <c r="AK392"/>
      <c r="AL392"/>
      <c r="AM392"/>
      <c r="AN392"/>
    </row>
    <row r="393" spans="1:40">
      <c r="AG393"/>
      <c r="AH393"/>
      <c r="AI393"/>
      <c r="AJ393"/>
      <c r="AK393"/>
      <c r="AL393"/>
      <c r="AM393"/>
      <c r="AN393"/>
    </row>
    <row r="394" spans="1:40">
      <c r="AG394"/>
      <c r="AH394"/>
      <c r="AI394"/>
      <c r="AJ394"/>
      <c r="AK394"/>
      <c r="AL394"/>
      <c r="AM394"/>
      <c r="AN394"/>
    </row>
    <row r="395" spans="1:40">
      <c r="AG395"/>
      <c r="AH395"/>
      <c r="AI395"/>
      <c r="AJ395"/>
      <c r="AK395"/>
      <c r="AL395"/>
      <c r="AM395"/>
      <c r="AN395"/>
    </row>
    <row r="396" spans="1:40">
      <c r="AG396"/>
      <c r="AH396"/>
      <c r="AI396"/>
      <c r="AJ396"/>
      <c r="AK396"/>
      <c r="AL396"/>
      <c r="AM396"/>
      <c r="AN396"/>
    </row>
    <row r="397" spans="1:40">
      <c r="AG397"/>
      <c r="AH397"/>
      <c r="AI397"/>
      <c r="AJ397"/>
      <c r="AK397"/>
      <c r="AL397"/>
      <c r="AM397"/>
      <c r="AN397"/>
    </row>
    <row r="398" spans="1:40">
      <c r="AG398"/>
      <c r="AH398"/>
      <c r="AI398"/>
      <c r="AJ398"/>
      <c r="AK398"/>
      <c r="AL398"/>
      <c r="AM398"/>
      <c r="AN398"/>
    </row>
    <row r="399" spans="1:40">
      <c r="AG399"/>
      <c r="AH399"/>
      <c r="AI399"/>
      <c r="AJ399"/>
      <c r="AK399"/>
      <c r="AL399"/>
      <c r="AM399"/>
      <c r="AN399"/>
    </row>
    <row r="400" spans="1:40">
      <c r="A400" s="11" t="s">
        <v>14</v>
      </c>
      <c r="B400" s="85" t="s">
        <v>93</v>
      </c>
      <c r="C400" s="12" t="s">
        <v>15</v>
      </c>
      <c r="D400" s="12" t="s">
        <v>92</v>
      </c>
      <c r="E400" s="12" t="s">
        <v>95</v>
      </c>
      <c r="F400" s="12" t="s">
        <v>96</v>
      </c>
      <c r="G400" s="12" t="s">
        <v>97</v>
      </c>
      <c r="AG400"/>
      <c r="AH400"/>
      <c r="AI400"/>
      <c r="AJ400"/>
      <c r="AK400"/>
      <c r="AL400"/>
      <c r="AM400"/>
      <c r="AN400"/>
    </row>
    <row r="401" spans="1:40">
      <c r="A401">
        <v>2</v>
      </c>
      <c r="B401">
        <v>9</v>
      </c>
      <c r="C401" t="s">
        <v>188</v>
      </c>
      <c r="D401" t="s">
        <v>189</v>
      </c>
      <c r="E401" t="s">
        <v>342</v>
      </c>
      <c r="G401" t="s">
        <v>341</v>
      </c>
      <c r="AG401"/>
      <c r="AH401"/>
      <c r="AI401"/>
      <c r="AJ401"/>
      <c r="AK401"/>
      <c r="AL401"/>
      <c r="AM401"/>
      <c r="AN401"/>
    </row>
    <row r="402" spans="1:40">
      <c r="A402">
        <v>3</v>
      </c>
      <c r="B402">
        <v>9</v>
      </c>
      <c r="C402" t="s">
        <v>188</v>
      </c>
      <c r="D402" t="s">
        <v>189</v>
      </c>
      <c r="E402" t="s">
        <v>342</v>
      </c>
      <c r="G402" t="s">
        <v>341</v>
      </c>
      <c r="AG402"/>
      <c r="AH402"/>
      <c r="AI402"/>
      <c r="AJ402"/>
      <c r="AK402"/>
      <c r="AL402"/>
      <c r="AM402"/>
      <c r="AN402"/>
    </row>
    <row r="403" spans="1:40">
      <c r="A403">
        <v>4</v>
      </c>
      <c r="B403">
        <v>9</v>
      </c>
      <c r="C403" t="s">
        <v>188</v>
      </c>
      <c r="D403" t="s">
        <v>189</v>
      </c>
      <c r="E403" t="s">
        <v>342</v>
      </c>
      <c r="G403" t="s">
        <v>341</v>
      </c>
      <c r="AG403"/>
      <c r="AH403"/>
      <c r="AI403"/>
      <c r="AJ403"/>
      <c r="AK403"/>
      <c r="AL403"/>
      <c r="AM403"/>
      <c r="AN403"/>
    </row>
    <row r="404" spans="1:40">
      <c r="A404">
        <v>5</v>
      </c>
      <c r="B404">
        <v>9</v>
      </c>
      <c r="C404" t="s">
        <v>188</v>
      </c>
      <c r="D404" t="s">
        <v>189</v>
      </c>
      <c r="E404" t="s">
        <v>342</v>
      </c>
      <c r="G404" t="s">
        <v>341</v>
      </c>
      <c r="AG404"/>
      <c r="AH404"/>
      <c r="AI404"/>
      <c r="AJ404"/>
      <c r="AK404"/>
      <c r="AL404"/>
      <c r="AM404"/>
      <c r="AN404"/>
    </row>
    <row r="405" spans="1:40">
      <c r="A405">
        <v>6</v>
      </c>
      <c r="B405">
        <v>9</v>
      </c>
      <c r="C405" t="s">
        <v>188</v>
      </c>
      <c r="D405" t="s">
        <v>189</v>
      </c>
      <c r="E405" t="s">
        <v>342</v>
      </c>
      <c r="G405" t="s">
        <v>341</v>
      </c>
      <c r="AG405"/>
      <c r="AH405"/>
      <c r="AI405"/>
      <c r="AJ405"/>
      <c r="AK405"/>
      <c r="AL405"/>
      <c r="AM405"/>
      <c r="AN405"/>
    </row>
    <row r="406" spans="1:40">
      <c r="A406">
        <v>7</v>
      </c>
      <c r="B406">
        <v>9</v>
      </c>
      <c r="C406" t="s">
        <v>188</v>
      </c>
      <c r="D406" t="s">
        <v>189</v>
      </c>
      <c r="E406" t="s">
        <v>342</v>
      </c>
      <c r="G406" t="s">
        <v>341</v>
      </c>
      <c r="AG406"/>
      <c r="AH406"/>
      <c r="AI406"/>
      <c r="AJ406"/>
      <c r="AK406"/>
      <c r="AL406"/>
      <c r="AM406"/>
      <c r="AN406"/>
    </row>
    <row r="407" spans="1:40">
      <c r="A407">
        <v>8</v>
      </c>
      <c r="B407">
        <v>9</v>
      </c>
      <c r="C407" t="s">
        <v>188</v>
      </c>
      <c r="D407" t="s">
        <v>189</v>
      </c>
      <c r="E407" t="s">
        <v>342</v>
      </c>
      <c r="G407" t="s">
        <v>341</v>
      </c>
      <c r="AG407"/>
      <c r="AH407"/>
      <c r="AI407"/>
      <c r="AJ407"/>
      <c r="AK407"/>
      <c r="AL407"/>
      <c r="AM407"/>
      <c r="AN407"/>
    </row>
    <row r="408" spans="1:40">
      <c r="A408">
        <v>9</v>
      </c>
      <c r="B408">
        <v>9</v>
      </c>
      <c r="C408" t="s">
        <v>188</v>
      </c>
      <c r="D408" t="s">
        <v>189</v>
      </c>
      <c r="E408" t="s">
        <v>342</v>
      </c>
      <c r="G408" t="s">
        <v>341</v>
      </c>
      <c r="AG408"/>
      <c r="AH408"/>
      <c r="AI408"/>
      <c r="AJ408"/>
      <c r="AK408"/>
      <c r="AL408"/>
      <c r="AM408"/>
      <c r="AN408"/>
    </row>
    <row r="409" spans="1:40">
      <c r="A409">
        <v>10</v>
      </c>
      <c r="B409">
        <v>9</v>
      </c>
      <c r="C409" t="s">
        <v>188</v>
      </c>
      <c r="D409" t="s">
        <v>189</v>
      </c>
      <c r="E409" t="s">
        <v>342</v>
      </c>
      <c r="G409" t="s">
        <v>341</v>
      </c>
      <c r="AG409"/>
      <c r="AH409"/>
      <c r="AI409"/>
      <c r="AJ409"/>
      <c r="AK409"/>
      <c r="AL409"/>
      <c r="AM409"/>
      <c r="AN409"/>
    </row>
    <row r="410" spans="1:40">
      <c r="A410">
        <v>11</v>
      </c>
      <c r="B410">
        <v>9</v>
      </c>
      <c r="C410" t="s">
        <v>188</v>
      </c>
      <c r="D410" t="s">
        <v>189</v>
      </c>
      <c r="E410" t="s">
        <v>342</v>
      </c>
      <c r="G410" t="s">
        <v>341</v>
      </c>
      <c r="AG410"/>
      <c r="AH410"/>
      <c r="AI410"/>
      <c r="AJ410"/>
      <c r="AK410"/>
      <c r="AL410"/>
      <c r="AM410"/>
      <c r="AN410"/>
    </row>
    <row r="411" spans="1:40">
      <c r="A411">
        <v>12</v>
      </c>
      <c r="B411">
        <v>9</v>
      </c>
      <c r="C411" t="s">
        <v>188</v>
      </c>
      <c r="D411" t="s">
        <v>189</v>
      </c>
      <c r="E411" t="s">
        <v>342</v>
      </c>
      <c r="G411" t="s">
        <v>341</v>
      </c>
      <c r="AG411"/>
      <c r="AH411"/>
      <c r="AI411"/>
      <c r="AJ411"/>
      <c r="AK411"/>
      <c r="AL411"/>
      <c r="AM411"/>
      <c r="AN411"/>
    </row>
    <row r="412" spans="1:40">
      <c r="A412">
        <v>13</v>
      </c>
      <c r="B412">
        <v>9</v>
      </c>
      <c r="C412" t="s">
        <v>188</v>
      </c>
      <c r="D412" t="s">
        <v>189</v>
      </c>
      <c r="E412" t="s">
        <v>342</v>
      </c>
      <c r="G412" t="s">
        <v>341</v>
      </c>
      <c r="AG412"/>
      <c r="AH412"/>
      <c r="AI412"/>
      <c r="AJ412"/>
      <c r="AK412"/>
      <c r="AL412"/>
      <c r="AM412"/>
      <c r="AN412"/>
    </row>
    <row r="413" spans="1:40">
      <c r="A413">
        <v>14</v>
      </c>
      <c r="B413">
        <v>9</v>
      </c>
      <c r="C413" t="s">
        <v>188</v>
      </c>
      <c r="D413" t="s">
        <v>189</v>
      </c>
      <c r="E413" t="s">
        <v>342</v>
      </c>
      <c r="G413" t="s">
        <v>341</v>
      </c>
      <c r="AG413"/>
      <c r="AH413"/>
      <c r="AI413"/>
      <c r="AJ413"/>
      <c r="AK413"/>
      <c r="AL413"/>
      <c r="AM413"/>
      <c r="AN413"/>
    </row>
    <row r="414" spans="1:40">
      <c r="A414">
        <v>15</v>
      </c>
      <c r="B414">
        <v>9</v>
      </c>
      <c r="C414" t="s">
        <v>188</v>
      </c>
      <c r="D414" t="s">
        <v>189</v>
      </c>
      <c r="E414" t="s">
        <v>342</v>
      </c>
      <c r="G414" t="s">
        <v>341</v>
      </c>
      <c r="AG414"/>
      <c r="AH414"/>
      <c r="AI414"/>
      <c r="AJ414"/>
      <c r="AK414"/>
      <c r="AL414"/>
      <c r="AM414"/>
      <c r="AN414"/>
    </row>
    <row r="415" spans="1:40">
      <c r="A415">
        <v>16</v>
      </c>
      <c r="B415">
        <v>9</v>
      </c>
      <c r="C415" t="s">
        <v>188</v>
      </c>
      <c r="D415" t="s">
        <v>189</v>
      </c>
      <c r="E415" t="s">
        <v>342</v>
      </c>
      <c r="G415" t="s">
        <v>341</v>
      </c>
      <c r="AG415"/>
      <c r="AH415"/>
      <c r="AI415"/>
      <c r="AJ415"/>
      <c r="AK415"/>
      <c r="AL415"/>
      <c r="AM415"/>
      <c r="AN415"/>
    </row>
    <row r="416" spans="1:40">
      <c r="A416">
        <v>17</v>
      </c>
      <c r="B416">
        <v>9</v>
      </c>
      <c r="C416" t="s">
        <v>188</v>
      </c>
      <c r="D416" t="s">
        <v>189</v>
      </c>
      <c r="E416" t="s">
        <v>342</v>
      </c>
      <c r="G416" t="s">
        <v>341</v>
      </c>
      <c r="AG416"/>
      <c r="AH416"/>
      <c r="AI416"/>
      <c r="AJ416"/>
      <c r="AK416"/>
      <c r="AL416"/>
      <c r="AM416"/>
      <c r="AN416"/>
    </row>
    <row r="417" spans="1:40">
      <c r="A417">
        <v>18</v>
      </c>
      <c r="B417">
        <v>9</v>
      </c>
      <c r="C417" t="s">
        <v>188</v>
      </c>
      <c r="D417" t="s">
        <v>189</v>
      </c>
      <c r="E417" t="s">
        <v>342</v>
      </c>
      <c r="G417" t="s">
        <v>341</v>
      </c>
      <c r="AG417"/>
      <c r="AH417"/>
      <c r="AI417"/>
      <c r="AJ417"/>
      <c r="AK417"/>
      <c r="AL417"/>
      <c r="AM417"/>
      <c r="AN417"/>
    </row>
    <row r="418" spans="1:40">
      <c r="A418">
        <v>19</v>
      </c>
      <c r="B418">
        <v>9</v>
      </c>
      <c r="C418" t="s">
        <v>188</v>
      </c>
      <c r="D418" t="s">
        <v>189</v>
      </c>
      <c r="E418" t="s">
        <v>342</v>
      </c>
      <c r="G418" t="s">
        <v>341</v>
      </c>
      <c r="AG418"/>
      <c r="AH418"/>
      <c r="AI418"/>
      <c r="AJ418"/>
      <c r="AK418"/>
      <c r="AL418"/>
      <c r="AM418"/>
      <c r="AN418"/>
    </row>
    <row r="419" spans="1:40">
      <c r="A419">
        <v>20</v>
      </c>
      <c r="B419">
        <v>9</v>
      </c>
      <c r="C419" t="s">
        <v>188</v>
      </c>
      <c r="D419" t="s">
        <v>189</v>
      </c>
      <c r="E419" t="s">
        <v>342</v>
      </c>
      <c r="G419" t="s">
        <v>341</v>
      </c>
      <c r="AG419"/>
      <c r="AH419"/>
      <c r="AI419"/>
      <c r="AJ419"/>
      <c r="AK419"/>
      <c r="AL419"/>
      <c r="AM419"/>
      <c r="AN419"/>
    </row>
    <row r="420" spans="1:40">
      <c r="A420">
        <v>21</v>
      </c>
      <c r="B420">
        <v>9</v>
      </c>
      <c r="C420" t="s">
        <v>188</v>
      </c>
      <c r="D420" t="s">
        <v>189</v>
      </c>
      <c r="E420" t="s">
        <v>342</v>
      </c>
      <c r="G420" t="s">
        <v>341</v>
      </c>
      <c r="AG420"/>
      <c r="AH420"/>
      <c r="AI420"/>
      <c r="AJ420"/>
      <c r="AK420"/>
      <c r="AL420"/>
      <c r="AM420"/>
      <c r="AN420"/>
    </row>
    <row r="421" spans="1:40">
      <c r="A421">
        <v>22</v>
      </c>
      <c r="B421">
        <v>9</v>
      </c>
      <c r="C421" t="s">
        <v>188</v>
      </c>
      <c r="D421" t="s">
        <v>189</v>
      </c>
      <c r="E421" t="s">
        <v>342</v>
      </c>
      <c r="G421" t="s">
        <v>341</v>
      </c>
      <c r="AG421"/>
      <c r="AH421"/>
      <c r="AI421"/>
      <c r="AJ421"/>
      <c r="AK421"/>
      <c r="AL421"/>
      <c r="AM421"/>
      <c r="AN421"/>
    </row>
    <row r="422" spans="1:40">
      <c r="A422">
        <v>23</v>
      </c>
      <c r="B422">
        <v>9</v>
      </c>
      <c r="C422" t="s">
        <v>188</v>
      </c>
      <c r="D422" t="s">
        <v>189</v>
      </c>
      <c r="E422" t="s">
        <v>342</v>
      </c>
      <c r="G422" t="s">
        <v>341</v>
      </c>
      <c r="AG422"/>
      <c r="AH422"/>
      <c r="AI422"/>
      <c r="AJ422"/>
      <c r="AK422"/>
      <c r="AL422"/>
      <c r="AM422"/>
      <c r="AN422"/>
    </row>
    <row r="423" spans="1:40">
      <c r="A423">
        <v>24</v>
      </c>
      <c r="B423">
        <v>9</v>
      </c>
      <c r="C423" t="s">
        <v>188</v>
      </c>
      <c r="D423" t="s">
        <v>189</v>
      </c>
      <c r="E423" t="s">
        <v>342</v>
      </c>
      <c r="G423" t="s">
        <v>341</v>
      </c>
      <c r="AG423"/>
      <c r="AH423"/>
      <c r="AI423"/>
      <c r="AJ423"/>
      <c r="AK423"/>
      <c r="AL423"/>
      <c r="AM423"/>
      <c r="AN423"/>
    </row>
    <row r="424" spans="1:40">
      <c r="A424">
        <v>25</v>
      </c>
      <c r="B424">
        <v>9</v>
      </c>
      <c r="C424" t="s">
        <v>188</v>
      </c>
      <c r="D424" t="s">
        <v>189</v>
      </c>
      <c r="E424" t="s">
        <v>342</v>
      </c>
      <c r="G424" t="s">
        <v>341</v>
      </c>
      <c r="AG424"/>
      <c r="AH424"/>
      <c r="AI424"/>
      <c r="AJ424"/>
      <c r="AK424"/>
      <c r="AL424"/>
      <c r="AM424"/>
      <c r="AN424"/>
    </row>
    <row r="425" spans="1:40">
      <c r="A425">
        <v>26</v>
      </c>
      <c r="B425">
        <v>9</v>
      </c>
      <c r="C425" t="s">
        <v>188</v>
      </c>
      <c r="D425" t="s">
        <v>189</v>
      </c>
      <c r="E425" t="s">
        <v>342</v>
      </c>
      <c r="G425" t="s">
        <v>341</v>
      </c>
      <c r="AG425"/>
      <c r="AH425"/>
      <c r="AI425"/>
      <c r="AJ425"/>
      <c r="AK425"/>
      <c r="AL425"/>
      <c r="AM425"/>
      <c r="AN425"/>
    </row>
    <row r="426" spans="1:40">
      <c r="A426">
        <v>27</v>
      </c>
      <c r="B426">
        <v>9</v>
      </c>
      <c r="C426" t="s">
        <v>188</v>
      </c>
      <c r="D426" t="s">
        <v>189</v>
      </c>
      <c r="E426" t="s">
        <v>342</v>
      </c>
      <c r="G426" t="s">
        <v>341</v>
      </c>
      <c r="AG426"/>
      <c r="AH426"/>
      <c r="AI426"/>
      <c r="AJ426"/>
      <c r="AK426"/>
      <c r="AL426"/>
      <c r="AM426"/>
      <c r="AN426"/>
    </row>
    <row r="427" spans="1:40">
      <c r="A427">
        <v>28</v>
      </c>
      <c r="B427">
        <v>9</v>
      </c>
      <c r="C427" t="s">
        <v>188</v>
      </c>
      <c r="D427" t="s">
        <v>189</v>
      </c>
      <c r="E427" t="s">
        <v>342</v>
      </c>
      <c r="G427" t="s">
        <v>341</v>
      </c>
      <c r="AG427"/>
      <c r="AH427"/>
      <c r="AI427"/>
      <c r="AJ427"/>
      <c r="AK427"/>
      <c r="AL427"/>
      <c r="AM427"/>
      <c r="AN427"/>
    </row>
    <row r="428" spans="1:40">
      <c r="A428">
        <v>29</v>
      </c>
      <c r="B428">
        <v>9</v>
      </c>
      <c r="C428" t="s">
        <v>188</v>
      </c>
      <c r="D428" t="s">
        <v>189</v>
      </c>
      <c r="E428" t="s">
        <v>342</v>
      </c>
      <c r="G428" t="s">
        <v>341</v>
      </c>
      <c r="AG428"/>
      <c r="AH428"/>
      <c r="AI428"/>
      <c r="AJ428"/>
      <c r="AK428"/>
      <c r="AL428"/>
      <c r="AM428"/>
      <c r="AN428"/>
    </row>
    <row r="429" spans="1:40">
      <c r="A429">
        <v>30</v>
      </c>
      <c r="B429">
        <v>9</v>
      </c>
      <c r="C429" t="s">
        <v>188</v>
      </c>
      <c r="D429" t="s">
        <v>189</v>
      </c>
      <c r="E429" t="s">
        <v>342</v>
      </c>
      <c r="G429" t="s">
        <v>341</v>
      </c>
      <c r="AG429"/>
      <c r="AH429"/>
      <c r="AI429"/>
      <c r="AJ429"/>
      <c r="AK429"/>
      <c r="AL429"/>
      <c r="AM429"/>
      <c r="AN429"/>
    </row>
    <row r="430" spans="1:40">
      <c r="A430">
        <v>31</v>
      </c>
      <c r="B430">
        <v>9</v>
      </c>
      <c r="C430" t="s">
        <v>188</v>
      </c>
      <c r="D430" t="s">
        <v>189</v>
      </c>
      <c r="E430" t="s">
        <v>342</v>
      </c>
      <c r="G430" t="s">
        <v>341</v>
      </c>
      <c r="AG430"/>
      <c r="AH430"/>
      <c r="AI430"/>
      <c r="AJ430"/>
      <c r="AK430"/>
      <c r="AL430"/>
      <c r="AM430"/>
      <c r="AN430"/>
    </row>
    <row r="431" spans="1:40">
      <c r="A431">
        <v>32</v>
      </c>
      <c r="B431">
        <v>9</v>
      </c>
      <c r="C431" t="s">
        <v>188</v>
      </c>
      <c r="D431" t="s">
        <v>189</v>
      </c>
      <c r="E431" t="s">
        <v>342</v>
      </c>
      <c r="G431" t="s">
        <v>341</v>
      </c>
      <c r="AG431"/>
      <c r="AH431"/>
      <c r="AI431"/>
      <c r="AJ431"/>
      <c r="AK431"/>
      <c r="AL431"/>
      <c r="AM431"/>
      <c r="AN431"/>
    </row>
    <row r="432" spans="1:40">
      <c r="A432">
        <v>33</v>
      </c>
      <c r="B432">
        <v>9</v>
      </c>
      <c r="C432" t="s">
        <v>188</v>
      </c>
      <c r="D432" t="s">
        <v>189</v>
      </c>
      <c r="E432" t="s">
        <v>342</v>
      </c>
      <c r="G432" t="s">
        <v>341</v>
      </c>
      <c r="AG432"/>
      <c r="AH432"/>
      <c r="AI432"/>
      <c r="AJ432"/>
      <c r="AK432"/>
      <c r="AL432"/>
      <c r="AM432"/>
      <c r="AN432"/>
    </row>
    <row r="433" spans="1:40">
      <c r="A433">
        <v>34</v>
      </c>
      <c r="B433">
        <v>9</v>
      </c>
      <c r="C433" t="s">
        <v>188</v>
      </c>
      <c r="D433" t="s">
        <v>189</v>
      </c>
      <c r="E433" t="s">
        <v>342</v>
      </c>
      <c r="G433" t="s">
        <v>341</v>
      </c>
      <c r="AG433"/>
      <c r="AH433"/>
      <c r="AI433"/>
      <c r="AJ433"/>
      <c r="AK433"/>
      <c r="AL433"/>
      <c r="AM433"/>
      <c r="AN433"/>
    </row>
    <row r="434" spans="1:40">
      <c r="A434">
        <v>35</v>
      </c>
      <c r="B434">
        <v>9</v>
      </c>
      <c r="C434" t="s">
        <v>188</v>
      </c>
      <c r="D434" t="s">
        <v>189</v>
      </c>
      <c r="E434" t="s">
        <v>342</v>
      </c>
      <c r="G434" t="s">
        <v>341</v>
      </c>
      <c r="AG434"/>
      <c r="AH434"/>
      <c r="AI434"/>
      <c r="AJ434"/>
      <c r="AK434"/>
      <c r="AL434"/>
      <c r="AM434"/>
      <c r="AN434"/>
    </row>
    <row r="435" spans="1:40">
      <c r="A435">
        <v>36</v>
      </c>
      <c r="B435">
        <v>9</v>
      </c>
      <c r="C435" t="s">
        <v>188</v>
      </c>
      <c r="D435" t="s">
        <v>189</v>
      </c>
      <c r="E435" t="s">
        <v>342</v>
      </c>
      <c r="G435" t="s">
        <v>341</v>
      </c>
      <c r="AG435"/>
      <c r="AH435"/>
      <c r="AI435"/>
      <c r="AJ435"/>
      <c r="AK435"/>
      <c r="AL435"/>
      <c r="AM435"/>
      <c r="AN435"/>
    </row>
    <row r="436" spans="1:40">
      <c r="A436">
        <v>37</v>
      </c>
      <c r="B436">
        <v>9</v>
      </c>
      <c r="C436" t="s">
        <v>188</v>
      </c>
      <c r="D436" t="s">
        <v>189</v>
      </c>
      <c r="E436" t="s">
        <v>342</v>
      </c>
      <c r="G436" t="s">
        <v>341</v>
      </c>
      <c r="AG436"/>
      <c r="AH436"/>
      <c r="AI436"/>
      <c r="AJ436"/>
      <c r="AK436"/>
      <c r="AL436"/>
      <c r="AM436"/>
      <c r="AN436"/>
    </row>
    <row r="437" spans="1:40">
      <c r="A437">
        <v>38</v>
      </c>
      <c r="B437">
        <v>9</v>
      </c>
      <c r="C437" t="s">
        <v>188</v>
      </c>
      <c r="D437" t="s">
        <v>189</v>
      </c>
      <c r="E437" t="s">
        <v>342</v>
      </c>
      <c r="G437" t="s">
        <v>341</v>
      </c>
      <c r="AG437"/>
      <c r="AH437"/>
      <c r="AI437"/>
      <c r="AJ437"/>
      <c r="AK437"/>
      <c r="AL437"/>
      <c r="AM437"/>
      <c r="AN437"/>
    </row>
    <row r="438" spans="1:40">
      <c r="A438">
        <v>39</v>
      </c>
      <c r="B438">
        <v>9</v>
      </c>
      <c r="C438" t="s">
        <v>188</v>
      </c>
      <c r="D438" t="s">
        <v>189</v>
      </c>
      <c r="E438" t="s">
        <v>342</v>
      </c>
      <c r="G438" t="s">
        <v>341</v>
      </c>
      <c r="AG438"/>
      <c r="AH438"/>
      <c r="AI438"/>
      <c r="AJ438"/>
      <c r="AK438"/>
      <c r="AL438"/>
      <c r="AM438"/>
      <c r="AN438"/>
    </row>
    <row r="439" spans="1:40">
      <c r="A439">
        <v>40</v>
      </c>
      <c r="B439">
        <v>9</v>
      </c>
      <c r="C439" t="s">
        <v>188</v>
      </c>
      <c r="D439" t="s">
        <v>189</v>
      </c>
      <c r="E439" t="s">
        <v>342</v>
      </c>
      <c r="G439" t="s">
        <v>341</v>
      </c>
      <c r="AG439"/>
      <c r="AH439"/>
      <c r="AI439"/>
      <c r="AJ439"/>
      <c r="AK439"/>
      <c r="AL439"/>
      <c r="AM439"/>
      <c r="AN439"/>
    </row>
    <row r="440" spans="1:40">
      <c r="A440">
        <v>41</v>
      </c>
      <c r="B440">
        <v>9</v>
      </c>
      <c r="C440" t="s">
        <v>188</v>
      </c>
      <c r="D440" t="s">
        <v>189</v>
      </c>
      <c r="E440" t="s">
        <v>342</v>
      </c>
      <c r="G440" t="s">
        <v>341</v>
      </c>
      <c r="AG440"/>
      <c r="AH440"/>
      <c r="AI440"/>
      <c r="AJ440"/>
      <c r="AK440"/>
      <c r="AL440"/>
      <c r="AM440"/>
      <c r="AN440"/>
    </row>
    <row r="441" spans="1:40">
      <c r="A441">
        <v>42</v>
      </c>
      <c r="B441">
        <v>9</v>
      </c>
      <c r="C441" t="s">
        <v>188</v>
      </c>
      <c r="D441" t="s">
        <v>189</v>
      </c>
      <c r="E441" t="s">
        <v>342</v>
      </c>
      <c r="G441" t="s">
        <v>341</v>
      </c>
      <c r="AG441"/>
      <c r="AH441"/>
      <c r="AI441"/>
      <c r="AJ441"/>
      <c r="AK441"/>
      <c r="AL441"/>
      <c r="AM441"/>
      <c r="AN441"/>
    </row>
    <row r="442" spans="1:40">
      <c r="A442">
        <v>43</v>
      </c>
      <c r="B442">
        <v>9</v>
      </c>
      <c r="C442" t="s">
        <v>188</v>
      </c>
      <c r="D442" t="s">
        <v>189</v>
      </c>
      <c r="E442" t="s">
        <v>342</v>
      </c>
      <c r="G442" t="s">
        <v>341</v>
      </c>
      <c r="AG442"/>
      <c r="AH442"/>
      <c r="AI442"/>
      <c r="AJ442"/>
      <c r="AK442"/>
      <c r="AL442"/>
      <c r="AM442"/>
      <c r="AN442"/>
    </row>
    <row r="443" spans="1:40">
      <c r="A443">
        <v>44</v>
      </c>
      <c r="B443">
        <v>9</v>
      </c>
      <c r="C443" t="s">
        <v>188</v>
      </c>
      <c r="D443" t="s">
        <v>189</v>
      </c>
      <c r="E443" t="s">
        <v>342</v>
      </c>
      <c r="G443" t="s">
        <v>341</v>
      </c>
      <c r="AG443"/>
      <c r="AH443"/>
      <c r="AI443"/>
      <c r="AJ443"/>
      <c r="AK443"/>
      <c r="AL443"/>
      <c r="AM443"/>
      <c r="AN443"/>
    </row>
    <row r="444" spans="1:40">
      <c r="A444">
        <v>45</v>
      </c>
      <c r="B444">
        <v>9</v>
      </c>
      <c r="C444" t="s">
        <v>188</v>
      </c>
      <c r="D444" t="s">
        <v>189</v>
      </c>
      <c r="E444" t="s">
        <v>342</v>
      </c>
      <c r="G444" t="s">
        <v>341</v>
      </c>
      <c r="AG444"/>
      <c r="AH444"/>
      <c r="AI444"/>
      <c r="AJ444"/>
      <c r="AK444"/>
      <c r="AL444"/>
      <c r="AM444"/>
      <c r="AN444"/>
    </row>
    <row r="445" spans="1:40">
      <c r="A445">
        <v>46</v>
      </c>
      <c r="B445">
        <v>9</v>
      </c>
      <c r="C445" t="s">
        <v>188</v>
      </c>
      <c r="D445" t="s">
        <v>189</v>
      </c>
      <c r="E445" t="s">
        <v>342</v>
      </c>
      <c r="G445" t="s">
        <v>341</v>
      </c>
      <c r="AG445"/>
      <c r="AH445"/>
      <c r="AI445"/>
      <c r="AJ445"/>
      <c r="AK445"/>
      <c r="AL445"/>
      <c r="AM445"/>
      <c r="AN445"/>
    </row>
    <row r="446" spans="1:40">
      <c r="A446">
        <v>47</v>
      </c>
      <c r="B446">
        <v>9</v>
      </c>
      <c r="C446" t="s">
        <v>188</v>
      </c>
      <c r="D446" t="s">
        <v>189</v>
      </c>
      <c r="E446" t="s">
        <v>342</v>
      </c>
      <c r="G446" t="s">
        <v>341</v>
      </c>
      <c r="AG446"/>
      <c r="AH446"/>
      <c r="AI446"/>
      <c r="AJ446"/>
      <c r="AK446"/>
      <c r="AL446"/>
      <c r="AM446"/>
      <c r="AN446"/>
    </row>
    <row r="447" spans="1:40">
      <c r="A447">
        <v>48</v>
      </c>
      <c r="B447">
        <v>9</v>
      </c>
      <c r="C447" t="s">
        <v>188</v>
      </c>
      <c r="D447" t="s">
        <v>189</v>
      </c>
      <c r="E447" t="s">
        <v>342</v>
      </c>
      <c r="G447" t="s">
        <v>341</v>
      </c>
      <c r="AG447"/>
      <c r="AH447"/>
      <c r="AI447"/>
      <c r="AJ447"/>
      <c r="AK447"/>
      <c r="AL447"/>
      <c r="AM447"/>
      <c r="AN447"/>
    </row>
    <row r="448" spans="1:40">
      <c r="A448">
        <v>49</v>
      </c>
      <c r="B448">
        <v>9</v>
      </c>
      <c r="C448" t="s">
        <v>188</v>
      </c>
      <c r="D448" t="s">
        <v>189</v>
      </c>
      <c r="E448" t="s">
        <v>342</v>
      </c>
      <c r="G448" t="s">
        <v>341</v>
      </c>
      <c r="AG448"/>
      <c r="AH448"/>
      <c r="AI448"/>
      <c r="AJ448"/>
      <c r="AK448"/>
      <c r="AL448"/>
      <c r="AM448"/>
      <c r="AN448"/>
    </row>
    <row r="449" spans="1:40">
      <c r="A449">
        <v>50</v>
      </c>
      <c r="B449">
        <v>9</v>
      </c>
      <c r="C449" t="s">
        <v>188</v>
      </c>
      <c r="D449" t="s">
        <v>189</v>
      </c>
      <c r="E449" t="s">
        <v>342</v>
      </c>
      <c r="G449" t="s">
        <v>341</v>
      </c>
      <c r="AG449"/>
      <c r="AH449"/>
      <c r="AI449"/>
      <c r="AJ449"/>
      <c r="AK449"/>
      <c r="AL449"/>
      <c r="AM449"/>
      <c r="AN449"/>
    </row>
    <row r="450" spans="1:40">
      <c r="A450">
        <v>51</v>
      </c>
      <c r="B450">
        <v>9</v>
      </c>
      <c r="C450" t="s">
        <v>188</v>
      </c>
      <c r="D450" t="s">
        <v>189</v>
      </c>
      <c r="E450" t="s">
        <v>342</v>
      </c>
      <c r="G450" t="s">
        <v>341</v>
      </c>
      <c r="AG450"/>
      <c r="AH450"/>
      <c r="AI450"/>
      <c r="AJ450"/>
      <c r="AK450"/>
      <c r="AL450"/>
      <c r="AM450"/>
      <c r="AN450"/>
    </row>
    <row r="451" spans="1:40">
      <c r="A451">
        <v>52</v>
      </c>
      <c r="B451">
        <v>9</v>
      </c>
      <c r="C451" t="s">
        <v>188</v>
      </c>
      <c r="D451" t="s">
        <v>189</v>
      </c>
      <c r="E451" t="s">
        <v>342</v>
      </c>
      <c r="G451" t="s">
        <v>341</v>
      </c>
      <c r="AG451"/>
      <c r="AH451"/>
      <c r="AI451"/>
      <c r="AJ451"/>
      <c r="AK451"/>
      <c r="AL451"/>
      <c r="AM451"/>
      <c r="AN451"/>
    </row>
    <row r="452" spans="1:40">
      <c r="A452">
        <v>53</v>
      </c>
      <c r="B452">
        <v>9</v>
      </c>
      <c r="C452" t="s">
        <v>188</v>
      </c>
      <c r="D452" t="s">
        <v>189</v>
      </c>
      <c r="E452" t="s">
        <v>342</v>
      </c>
      <c r="G452" t="s">
        <v>341</v>
      </c>
      <c r="AG452"/>
      <c r="AH452"/>
      <c r="AI452"/>
      <c r="AJ452"/>
      <c r="AK452"/>
      <c r="AL452"/>
      <c r="AM452"/>
      <c r="AN452"/>
    </row>
    <row r="453" spans="1:40">
      <c r="A453">
        <v>54</v>
      </c>
      <c r="B453">
        <v>9</v>
      </c>
      <c r="C453" t="s">
        <v>188</v>
      </c>
      <c r="D453" t="s">
        <v>189</v>
      </c>
      <c r="E453" t="s">
        <v>342</v>
      </c>
      <c r="G453" t="s">
        <v>341</v>
      </c>
      <c r="AG453"/>
      <c r="AH453"/>
      <c r="AI453"/>
      <c r="AJ453"/>
      <c r="AK453"/>
      <c r="AL453"/>
      <c r="AM453"/>
      <c r="AN453"/>
    </row>
    <row r="454" spans="1:40">
      <c r="A454">
        <v>55</v>
      </c>
      <c r="B454">
        <v>9</v>
      </c>
      <c r="C454" t="s">
        <v>188</v>
      </c>
      <c r="D454" t="s">
        <v>189</v>
      </c>
      <c r="E454" t="s">
        <v>342</v>
      </c>
      <c r="G454" t="s">
        <v>341</v>
      </c>
      <c r="AG454"/>
      <c r="AH454"/>
      <c r="AI454"/>
      <c r="AJ454"/>
      <c r="AK454"/>
      <c r="AL454"/>
      <c r="AM454"/>
      <c r="AN454"/>
    </row>
    <row r="455" spans="1:40">
      <c r="A455">
        <v>56</v>
      </c>
      <c r="B455">
        <v>9</v>
      </c>
      <c r="C455" t="s">
        <v>188</v>
      </c>
      <c r="D455" t="s">
        <v>189</v>
      </c>
      <c r="E455" t="s">
        <v>342</v>
      </c>
      <c r="G455" t="s">
        <v>341</v>
      </c>
      <c r="AG455"/>
      <c r="AH455"/>
      <c r="AI455"/>
      <c r="AJ455"/>
      <c r="AK455"/>
      <c r="AL455"/>
      <c r="AM455"/>
      <c r="AN455"/>
    </row>
    <row r="456" spans="1:40">
      <c r="A456">
        <v>57</v>
      </c>
      <c r="B456">
        <v>9</v>
      </c>
      <c r="C456" t="s">
        <v>188</v>
      </c>
      <c r="D456" t="s">
        <v>189</v>
      </c>
      <c r="E456" t="s">
        <v>342</v>
      </c>
      <c r="G456" t="s">
        <v>341</v>
      </c>
      <c r="AG456"/>
      <c r="AH456"/>
      <c r="AI456"/>
      <c r="AJ456"/>
      <c r="AK456"/>
      <c r="AL456"/>
      <c r="AM456"/>
      <c r="AN456"/>
    </row>
    <row r="457" spans="1:40">
      <c r="A457">
        <v>58</v>
      </c>
      <c r="B457">
        <v>9</v>
      </c>
      <c r="C457" t="s">
        <v>188</v>
      </c>
      <c r="D457" t="s">
        <v>189</v>
      </c>
      <c r="E457" t="s">
        <v>342</v>
      </c>
      <c r="G457" t="s">
        <v>341</v>
      </c>
      <c r="AG457"/>
      <c r="AH457"/>
      <c r="AI457"/>
      <c r="AJ457"/>
      <c r="AK457"/>
      <c r="AL457"/>
      <c r="AM457"/>
      <c r="AN457"/>
    </row>
    <row r="458" spans="1:40">
      <c r="A458">
        <v>59</v>
      </c>
      <c r="B458">
        <v>9</v>
      </c>
      <c r="C458" t="s">
        <v>188</v>
      </c>
      <c r="D458" t="s">
        <v>189</v>
      </c>
      <c r="E458" t="s">
        <v>342</v>
      </c>
      <c r="G458" t="s">
        <v>341</v>
      </c>
      <c r="AG458"/>
      <c r="AH458"/>
      <c r="AI458"/>
      <c r="AJ458"/>
      <c r="AK458"/>
      <c r="AL458"/>
      <c r="AM458"/>
      <c r="AN458"/>
    </row>
    <row r="459" spans="1:40">
      <c r="A459">
        <v>60</v>
      </c>
      <c r="B459">
        <v>9</v>
      </c>
      <c r="C459" t="s">
        <v>188</v>
      </c>
      <c r="D459" t="s">
        <v>189</v>
      </c>
      <c r="E459" t="s">
        <v>342</v>
      </c>
      <c r="G459" t="s">
        <v>341</v>
      </c>
      <c r="AG459"/>
      <c r="AH459"/>
      <c r="AI459"/>
      <c r="AJ459"/>
      <c r="AK459"/>
      <c r="AL459"/>
      <c r="AM459"/>
      <c r="AN459"/>
    </row>
    <row r="460" spans="1:40">
      <c r="A460">
        <v>61</v>
      </c>
      <c r="B460">
        <v>9</v>
      </c>
      <c r="C460" t="s">
        <v>188</v>
      </c>
      <c r="D460" t="s">
        <v>189</v>
      </c>
      <c r="E460" t="s">
        <v>342</v>
      </c>
      <c r="G460" t="s">
        <v>341</v>
      </c>
      <c r="AG460"/>
      <c r="AH460"/>
      <c r="AI460"/>
      <c r="AJ460"/>
      <c r="AK460"/>
      <c r="AL460"/>
      <c r="AM460"/>
      <c r="AN460"/>
    </row>
    <row r="461" spans="1:40">
      <c r="A461">
        <v>62</v>
      </c>
      <c r="B461">
        <v>9</v>
      </c>
      <c r="C461" t="s">
        <v>188</v>
      </c>
      <c r="D461" t="s">
        <v>189</v>
      </c>
      <c r="E461" t="s">
        <v>342</v>
      </c>
      <c r="G461" t="s">
        <v>341</v>
      </c>
      <c r="AG461"/>
      <c r="AH461"/>
      <c r="AI461"/>
      <c r="AJ461"/>
      <c r="AK461"/>
      <c r="AL461"/>
      <c r="AM461"/>
      <c r="AN461"/>
    </row>
    <row r="462" spans="1:40">
      <c r="AG462"/>
      <c r="AH462"/>
      <c r="AI462"/>
      <c r="AJ462"/>
      <c r="AK462"/>
      <c r="AL462"/>
      <c r="AM462"/>
      <c r="AN462"/>
    </row>
    <row r="463" spans="1:40">
      <c r="AG463"/>
      <c r="AH463"/>
      <c r="AI463"/>
      <c r="AJ463"/>
      <c r="AK463"/>
      <c r="AL463"/>
      <c r="AM463"/>
      <c r="AN463"/>
    </row>
    <row r="464" spans="1:40">
      <c r="AG464"/>
      <c r="AH464"/>
      <c r="AI464"/>
      <c r="AJ464"/>
      <c r="AK464"/>
      <c r="AL464"/>
      <c r="AM464"/>
      <c r="AN464"/>
    </row>
    <row r="465" spans="33:40">
      <c r="AG465"/>
      <c r="AH465"/>
      <c r="AI465"/>
      <c r="AJ465"/>
      <c r="AK465"/>
      <c r="AL465"/>
      <c r="AM465"/>
      <c r="AN465"/>
    </row>
    <row r="466" spans="33:40">
      <c r="AG466"/>
      <c r="AH466"/>
      <c r="AI466"/>
      <c r="AJ466"/>
      <c r="AK466"/>
      <c r="AL466"/>
      <c r="AM466"/>
      <c r="AN466"/>
    </row>
    <row r="467" spans="33:40">
      <c r="AG467"/>
      <c r="AH467"/>
      <c r="AI467"/>
      <c r="AJ467"/>
      <c r="AK467"/>
      <c r="AL467"/>
      <c r="AM467"/>
      <c r="AN467"/>
    </row>
    <row r="468" spans="33:40">
      <c r="AG468"/>
      <c r="AH468"/>
      <c r="AI468"/>
      <c r="AJ468"/>
      <c r="AK468"/>
      <c r="AL468"/>
      <c r="AM468"/>
      <c r="AN468"/>
    </row>
    <row r="469" spans="33:40">
      <c r="AG469"/>
      <c r="AH469"/>
      <c r="AI469"/>
      <c r="AJ469"/>
      <c r="AK469"/>
      <c r="AL469"/>
      <c r="AM469"/>
      <c r="AN469"/>
    </row>
    <row r="470" spans="33:40">
      <c r="AG470"/>
      <c r="AH470"/>
      <c r="AI470"/>
      <c r="AJ470"/>
      <c r="AK470"/>
      <c r="AL470"/>
      <c r="AM470"/>
      <c r="AN470"/>
    </row>
    <row r="471" spans="33:40">
      <c r="AG471"/>
      <c r="AH471"/>
      <c r="AI471"/>
      <c r="AJ471"/>
      <c r="AK471"/>
      <c r="AL471"/>
      <c r="AM471"/>
      <c r="AN471"/>
    </row>
    <row r="472" spans="33:40">
      <c r="AG472"/>
      <c r="AH472"/>
      <c r="AI472"/>
      <c r="AJ472"/>
      <c r="AK472"/>
      <c r="AL472"/>
      <c r="AM472"/>
      <c r="AN472"/>
    </row>
    <row r="473" spans="33:40">
      <c r="AG473"/>
      <c r="AH473"/>
      <c r="AI473"/>
      <c r="AJ473"/>
      <c r="AK473"/>
      <c r="AL473"/>
      <c r="AM473"/>
      <c r="AN473"/>
    </row>
    <row r="474" spans="33:40">
      <c r="AG474"/>
      <c r="AH474"/>
      <c r="AI474"/>
      <c r="AJ474"/>
      <c r="AK474"/>
      <c r="AL474"/>
      <c r="AM474"/>
      <c r="AN474"/>
    </row>
    <row r="475" spans="33:40">
      <c r="AG475"/>
      <c r="AH475"/>
      <c r="AI475"/>
      <c r="AJ475"/>
      <c r="AK475"/>
      <c r="AL475"/>
      <c r="AM475"/>
      <c r="AN475"/>
    </row>
    <row r="476" spans="33:40">
      <c r="AG476"/>
      <c r="AH476"/>
      <c r="AI476"/>
      <c r="AJ476"/>
      <c r="AK476"/>
      <c r="AL476"/>
      <c r="AM476"/>
      <c r="AN476"/>
    </row>
    <row r="477" spans="33:40">
      <c r="AG477"/>
      <c r="AH477"/>
      <c r="AI477"/>
      <c r="AJ477"/>
      <c r="AK477"/>
      <c r="AL477"/>
      <c r="AM477"/>
      <c r="AN477"/>
    </row>
    <row r="478" spans="33:40">
      <c r="AG478"/>
      <c r="AH478"/>
      <c r="AI478"/>
      <c r="AJ478"/>
      <c r="AK478"/>
      <c r="AL478"/>
      <c r="AM478"/>
      <c r="AN478"/>
    </row>
    <row r="479" spans="33:40">
      <c r="AG479"/>
      <c r="AH479"/>
      <c r="AI479"/>
      <c r="AJ479"/>
      <c r="AK479"/>
      <c r="AL479"/>
      <c r="AM479"/>
      <c r="AN479"/>
    </row>
    <row r="480" spans="33:40">
      <c r="AG480"/>
      <c r="AH480"/>
      <c r="AI480"/>
      <c r="AJ480"/>
      <c r="AK480"/>
      <c r="AL480"/>
      <c r="AM480"/>
      <c r="AN480"/>
    </row>
    <row r="481" spans="33:40">
      <c r="AG481"/>
      <c r="AH481"/>
      <c r="AI481"/>
      <c r="AJ481"/>
      <c r="AK481"/>
      <c r="AL481"/>
      <c r="AM481"/>
      <c r="AN481"/>
    </row>
    <row r="482" spans="33:40">
      <c r="AG482"/>
      <c r="AH482"/>
      <c r="AI482"/>
      <c r="AJ482"/>
      <c r="AK482"/>
      <c r="AL482"/>
      <c r="AM482"/>
      <c r="AN482"/>
    </row>
    <row r="483" spans="33:40">
      <c r="AG483"/>
      <c r="AH483"/>
      <c r="AI483"/>
      <c r="AJ483"/>
      <c r="AK483"/>
      <c r="AL483"/>
      <c r="AM483"/>
      <c r="AN483"/>
    </row>
    <row r="484" spans="33:40">
      <c r="AG484"/>
      <c r="AH484"/>
      <c r="AI484"/>
      <c r="AJ484"/>
      <c r="AK484"/>
      <c r="AL484"/>
      <c r="AM484"/>
      <c r="AN484"/>
    </row>
    <row r="485" spans="33:40">
      <c r="AG485"/>
      <c r="AH485"/>
      <c r="AI485"/>
      <c r="AJ485"/>
      <c r="AK485"/>
      <c r="AL485"/>
      <c r="AM485"/>
      <c r="AN485"/>
    </row>
    <row r="486" spans="33:40">
      <c r="AG486"/>
      <c r="AH486"/>
      <c r="AI486"/>
      <c r="AJ486"/>
      <c r="AK486"/>
      <c r="AL486"/>
      <c r="AM486"/>
      <c r="AN486"/>
    </row>
    <row r="487" spans="33:40">
      <c r="AG487"/>
      <c r="AH487"/>
      <c r="AI487"/>
      <c r="AJ487"/>
      <c r="AK487"/>
      <c r="AL487"/>
      <c r="AM487"/>
      <c r="AN487"/>
    </row>
    <row r="488" spans="33:40">
      <c r="AG488"/>
      <c r="AH488"/>
      <c r="AI488"/>
      <c r="AJ488"/>
      <c r="AK488"/>
      <c r="AL488"/>
      <c r="AM488"/>
      <c r="AN488"/>
    </row>
    <row r="489" spans="33:40">
      <c r="AG489"/>
      <c r="AH489"/>
      <c r="AI489"/>
      <c r="AJ489"/>
      <c r="AK489"/>
      <c r="AL489"/>
      <c r="AM489"/>
      <c r="AN489"/>
    </row>
    <row r="490" spans="33:40">
      <c r="AG490"/>
      <c r="AH490"/>
      <c r="AI490"/>
      <c r="AJ490"/>
      <c r="AK490"/>
      <c r="AL490"/>
      <c r="AM490"/>
      <c r="AN490"/>
    </row>
    <row r="491" spans="33:40">
      <c r="AG491"/>
      <c r="AH491"/>
      <c r="AI491"/>
      <c r="AJ491"/>
      <c r="AK491"/>
      <c r="AL491"/>
      <c r="AM491"/>
      <c r="AN491"/>
    </row>
    <row r="492" spans="33:40">
      <c r="AG492"/>
      <c r="AH492"/>
      <c r="AI492"/>
      <c r="AJ492"/>
      <c r="AK492"/>
      <c r="AL492"/>
      <c r="AM492"/>
      <c r="AN492"/>
    </row>
    <row r="493" spans="33:40">
      <c r="AG493"/>
      <c r="AH493"/>
      <c r="AI493"/>
      <c r="AJ493"/>
      <c r="AK493"/>
      <c r="AL493"/>
      <c r="AM493"/>
      <c r="AN493"/>
    </row>
    <row r="494" spans="33:40">
      <c r="AG494"/>
      <c r="AH494"/>
      <c r="AI494"/>
      <c r="AJ494"/>
      <c r="AK494"/>
      <c r="AL494"/>
      <c r="AM494"/>
      <c r="AN494"/>
    </row>
    <row r="495" spans="33:40">
      <c r="AG495"/>
      <c r="AH495"/>
      <c r="AI495"/>
      <c r="AJ495"/>
      <c r="AK495"/>
      <c r="AL495"/>
      <c r="AM495"/>
      <c r="AN495"/>
    </row>
    <row r="496" spans="33:40">
      <c r="AG496"/>
      <c r="AH496"/>
      <c r="AI496"/>
      <c r="AJ496"/>
      <c r="AK496"/>
      <c r="AL496"/>
      <c r="AM496"/>
      <c r="AN496"/>
    </row>
    <row r="497" spans="33:40">
      <c r="AG497"/>
      <c r="AH497"/>
      <c r="AI497"/>
      <c r="AJ497"/>
      <c r="AK497"/>
      <c r="AL497"/>
      <c r="AM497"/>
      <c r="AN497"/>
    </row>
    <row r="498" spans="33:40">
      <c r="AG498"/>
      <c r="AH498"/>
      <c r="AI498"/>
      <c r="AJ498"/>
      <c r="AK498"/>
      <c r="AL498"/>
      <c r="AM498"/>
      <c r="AN498"/>
    </row>
    <row r="499" spans="33:40">
      <c r="AG499"/>
      <c r="AH499"/>
      <c r="AI499"/>
      <c r="AJ499"/>
      <c r="AK499"/>
      <c r="AL499"/>
      <c r="AM499"/>
      <c r="AN499"/>
    </row>
    <row r="500" spans="33:40">
      <c r="AG500"/>
      <c r="AH500"/>
      <c r="AI500"/>
      <c r="AJ500"/>
      <c r="AK500"/>
      <c r="AL500"/>
      <c r="AM500"/>
      <c r="AN500"/>
    </row>
    <row r="501" spans="33:40">
      <c r="AG501"/>
      <c r="AH501"/>
      <c r="AI501"/>
      <c r="AJ501"/>
      <c r="AK501"/>
      <c r="AL501"/>
      <c r="AM501"/>
      <c r="AN501"/>
    </row>
    <row r="502" spans="33:40">
      <c r="AG502"/>
      <c r="AH502"/>
      <c r="AI502"/>
      <c r="AJ502"/>
      <c r="AK502"/>
      <c r="AL502"/>
      <c r="AM502"/>
      <c r="AN502"/>
    </row>
    <row r="503" spans="33:40">
      <c r="AG503"/>
      <c r="AH503"/>
      <c r="AI503"/>
      <c r="AJ503"/>
      <c r="AK503"/>
      <c r="AL503"/>
      <c r="AM503"/>
      <c r="AN503"/>
    </row>
    <row r="504" spans="33:40">
      <c r="AG504"/>
      <c r="AH504"/>
      <c r="AI504"/>
      <c r="AJ504"/>
      <c r="AK504"/>
      <c r="AL504"/>
      <c r="AM504"/>
      <c r="AN504"/>
    </row>
    <row r="505" spans="33:40">
      <c r="AG505"/>
      <c r="AH505"/>
      <c r="AI505"/>
      <c r="AJ505"/>
      <c r="AK505"/>
      <c r="AL505"/>
      <c r="AM505"/>
      <c r="AN505"/>
    </row>
    <row r="506" spans="33:40">
      <c r="AG506"/>
      <c r="AH506"/>
      <c r="AI506"/>
      <c r="AJ506"/>
      <c r="AK506"/>
      <c r="AL506"/>
      <c r="AM506"/>
      <c r="AN506"/>
    </row>
    <row r="507" spans="33:40">
      <c r="AG507"/>
      <c r="AH507"/>
      <c r="AI507"/>
      <c r="AJ507"/>
      <c r="AK507"/>
      <c r="AL507"/>
      <c r="AM507"/>
      <c r="AN507"/>
    </row>
    <row r="508" spans="33:40">
      <c r="AG508"/>
      <c r="AH508"/>
      <c r="AI508"/>
      <c r="AJ508"/>
      <c r="AK508"/>
      <c r="AL508"/>
      <c r="AM508"/>
      <c r="AN508"/>
    </row>
    <row r="509" spans="33:40">
      <c r="AG509"/>
      <c r="AH509"/>
      <c r="AI509"/>
      <c r="AJ509"/>
      <c r="AK509"/>
      <c r="AL509"/>
      <c r="AM509"/>
      <c r="AN509"/>
    </row>
    <row r="510" spans="33:40">
      <c r="AG510"/>
      <c r="AH510"/>
      <c r="AI510"/>
      <c r="AJ510"/>
      <c r="AK510"/>
      <c r="AL510"/>
      <c r="AM510"/>
      <c r="AN510"/>
    </row>
    <row r="511" spans="33:40">
      <c r="AG511"/>
      <c r="AH511"/>
      <c r="AI511"/>
      <c r="AJ511"/>
      <c r="AK511"/>
      <c r="AL511"/>
      <c r="AM511"/>
      <c r="AN511"/>
    </row>
    <row r="512" spans="33:40">
      <c r="AG512"/>
      <c r="AH512"/>
      <c r="AI512"/>
      <c r="AJ512"/>
      <c r="AK512"/>
      <c r="AL512"/>
      <c r="AM512"/>
      <c r="AN512"/>
    </row>
    <row r="513" spans="33:40">
      <c r="AG513"/>
      <c r="AH513"/>
      <c r="AI513"/>
      <c r="AJ513"/>
      <c r="AK513"/>
      <c r="AL513"/>
      <c r="AM513"/>
      <c r="AN513"/>
    </row>
    <row r="514" spans="33:40">
      <c r="AG514"/>
      <c r="AH514"/>
      <c r="AI514"/>
      <c r="AJ514"/>
      <c r="AK514"/>
      <c r="AL514"/>
      <c r="AM514"/>
      <c r="AN514"/>
    </row>
    <row r="515" spans="33:40">
      <c r="AG515"/>
      <c r="AH515"/>
      <c r="AI515"/>
      <c r="AJ515"/>
      <c r="AK515"/>
      <c r="AL515"/>
      <c r="AM515"/>
      <c r="AN515"/>
    </row>
    <row r="516" spans="33:40">
      <c r="AG516"/>
      <c r="AH516"/>
      <c r="AI516"/>
      <c r="AJ516"/>
      <c r="AK516"/>
      <c r="AL516"/>
      <c r="AM516"/>
      <c r="AN516"/>
    </row>
    <row r="517" spans="33:40">
      <c r="AG517"/>
      <c r="AH517"/>
      <c r="AI517"/>
      <c r="AJ517"/>
      <c r="AK517"/>
      <c r="AL517"/>
      <c r="AM517"/>
      <c r="AN517"/>
    </row>
    <row r="518" spans="33:40">
      <c r="AG518"/>
      <c r="AH518"/>
      <c r="AI518"/>
      <c r="AJ518"/>
      <c r="AK518"/>
      <c r="AL518"/>
      <c r="AM518"/>
      <c r="AN518"/>
    </row>
    <row r="519" spans="33:40">
      <c r="AG519"/>
      <c r="AH519"/>
      <c r="AI519"/>
      <c r="AJ519"/>
      <c r="AK519"/>
      <c r="AL519"/>
      <c r="AM519"/>
      <c r="AN519"/>
    </row>
    <row r="520" spans="33:40">
      <c r="AG520"/>
      <c r="AH520"/>
      <c r="AI520"/>
      <c r="AJ520"/>
      <c r="AK520"/>
      <c r="AL520"/>
      <c r="AM520"/>
      <c r="AN520"/>
    </row>
    <row r="521" spans="33:40">
      <c r="AG521"/>
      <c r="AH521"/>
      <c r="AI521"/>
      <c r="AJ521"/>
      <c r="AK521"/>
      <c r="AL521"/>
      <c r="AM521"/>
      <c r="AN521"/>
    </row>
    <row r="522" spans="33:40">
      <c r="AG522"/>
      <c r="AH522"/>
      <c r="AI522"/>
      <c r="AJ522"/>
      <c r="AK522"/>
      <c r="AL522"/>
      <c r="AM522"/>
      <c r="AN522"/>
    </row>
    <row r="523" spans="33:40">
      <c r="AG523"/>
      <c r="AH523"/>
      <c r="AI523"/>
      <c r="AJ523"/>
      <c r="AK523"/>
      <c r="AL523"/>
      <c r="AM523"/>
      <c r="AN523"/>
    </row>
    <row r="524" spans="33:40">
      <c r="AG524"/>
      <c r="AH524"/>
      <c r="AI524"/>
      <c r="AJ524"/>
      <c r="AK524"/>
      <c r="AL524"/>
      <c r="AM524"/>
      <c r="AN524"/>
    </row>
    <row r="525" spans="33:40">
      <c r="AG525"/>
      <c r="AH525"/>
      <c r="AI525"/>
      <c r="AJ525"/>
      <c r="AK525"/>
      <c r="AL525"/>
      <c r="AM525"/>
      <c r="AN525"/>
    </row>
    <row r="526" spans="33:40">
      <c r="AG526"/>
      <c r="AH526"/>
      <c r="AI526"/>
      <c r="AJ526"/>
      <c r="AK526"/>
      <c r="AL526"/>
      <c r="AM526"/>
      <c r="AN526"/>
    </row>
    <row r="527" spans="33:40">
      <c r="AG527"/>
      <c r="AH527"/>
      <c r="AI527"/>
      <c r="AJ527"/>
      <c r="AK527"/>
      <c r="AL527"/>
      <c r="AM527"/>
      <c r="AN527"/>
    </row>
    <row r="528" spans="33:40">
      <c r="AG528"/>
      <c r="AH528"/>
      <c r="AI528"/>
      <c r="AJ528"/>
      <c r="AK528"/>
      <c r="AL528"/>
      <c r="AM528"/>
      <c r="AN528"/>
    </row>
    <row r="529" spans="33:40">
      <c r="AG529"/>
      <c r="AH529"/>
      <c r="AI529"/>
      <c r="AJ529"/>
      <c r="AK529"/>
      <c r="AL529"/>
      <c r="AM529"/>
      <c r="AN529"/>
    </row>
    <row r="530" spans="33:40">
      <c r="AG530"/>
      <c r="AH530"/>
      <c r="AI530"/>
      <c r="AJ530"/>
      <c r="AK530"/>
      <c r="AL530"/>
      <c r="AM530"/>
      <c r="AN530"/>
    </row>
    <row r="531" spans="33:40">
      <c r="AG531"/>
      <c r="AH531"/>
      <c r="AI531"/>
      <c r="AJ531"/>
      <c r="AK531"/>
      <c r="AL531"/>
      <c r="AM531"/>
      <c r="AN531"/>
    </row>
    <row r="532" spans="33:40">
      <c r="AG532"/>
      <c r="AH532"/>
      <c r="AI532"/>
      <c r="AJ532"/>
      <c r="AK532"/>
      <c r="AL532"/>
      <c r="AM532"/>
      <c r="AN532"/>
    </row>
    <row r="533" spans="33:40">
      <c r="AG533"/>
      <c r="AH533"/>
      <c r="AI533"/>
      <c r="AJ533"/>
      <c r="AK533"/>
      <c r="AL533"/>
      <c r="AM533"/>
      <c r="AN533"/>
    </row>
    <row r="534" spans="33:40">
      <c r="AG534"/>
      <c r="AH534"/>
      <c r="AI534"/>
      <c r="AJ534"/>
      <c r="AK534"/>
      <c r="AL534"/>
      <c r="AM534"/>
      <c r="AN534"/>
    </row>
    <row r="535" spans="33:40">
      <c r="AG535"/>
      <c r="AH535"/>
      <c r="AI535"/>
      <c r="AJ535"/>
      <c r="AK535"/>
      <c r="AL535"/>
      <c r="AM535"/>
      <c r="AN535"/>
    </row>
    <row r="536" spans="33:40">
      <c r="AG536"/>
      <c r="AH536"/>
      <c r="AI536"/>
      <c r="AJ536"/>
      <c r="AK536"/>
      <c r="AL536"/>
      <c r="AM536"/>
      <c r="AN536"/>
    </row>
    <row r="537" spans="33:40">
      <c r="AG537"/>
      <c r="AH537"/>
      <c r="AI537"/>
      <c r="AJ537"/>
      <c r="AK537"/>
      <c r="AL537"/>
      <c r="AM537"/>
      <c r="AN537"/>
    </row>
    <row r="538" spans="33:40">
      <c r="AG538"/>
      <c r="AH538"/>
      <c r="AI538"/>
      <c r="AJ538"/>
      <c r="AK538"/>
      <c r="AL538"/>
      <c r="AM538"/>
      <c r="AN538"/>
    </row>
    <row r="539" spans="33:40">
      <c r="AG539"/>
      <c r="AH539"/>
      <c r="AI539"/>
      <c r="AJ539"/>
      <c r="AK539"/>
      <c r="AL539"/>
      <c r="AM539"/>
      <c r="AN539"/>
    </row>
    <row r="540" spans="33:40">
      <c r="AG540"/>
      <c r="AH540"/>
      <c r="AI540"/>
      <c r="AJ540"/>
      <c r="AK540"/>
      <c r="AL540"/>
      <c r="AM540"/>
      <c r="AN540"/>
    </row>
    <row r="541" spans="33:40">
      <c r="AG541"/>
      <c r="AH541"/>
      <c r="AI541"/>
      <c r="AJ541"/>
      <c r="AK541"/>
      <c r="AL541"/>
      <c r="AM541"/>
      <c r="AN541"/>
    </row>
    <row r="542" spans="33:40">
      <c r="AG542"/>
      <c r="AH542"/>
      <c r="AI542"/>
      <c r="AJ542"/>
      <c r="AK542"/>
      <c r="AL542"/>
      <c r="AM542"/>
      <c r="AN542"/>
    </row>
    <row r="543" spans="33:40">
      <c r="AG543"/>
      <c r="AH543"/>
      <c r="AI543"/>
      <c r="AJ543"/>
      <c r="AK543"/>
      <c r="AL543"/>
      <c r="AM543"/>
      <c r="AN543"/>
    </row>
    <row r="544" spans="33:40">
      <c r="AG544"/>
      <c r="AH544"/>
      <c r="AI544"/>
      <c r="AJ544"/>
      <c r="AK544"/>
      <c r="AL544"/>
      <c r="AM544"/>
      <c r="AN544"/>
    </row>
    <row r="545" spans="33:40">
      <c r="AG545"/>
      <c r="AH545"/>
      <c r="AI545"/>
      <c r="AJ545"/>
      <c r="AK545"/>
      <c r="AL545"/>
      <c r="AM545"/>
      <c r="AN545"/>
    </row>
    <row r="546" spans="33:40">
      <c r="AG546"/>
      <c r="AH546"/>
      <c r="AI546"/>
      <c r="AJ546"/>
      <c r="AK546"/>
      <c r="AL546"/>
      <c r="AM546"/>
      <c r="AN546"/>
    </row>
    <row r="547" spans="33:40">
      <c r="AG547"/>
      <c r="AH547"/>
      <c r="AI547"/>
      <c r="AJ547"/>
      <c r="AK547"/>
      <c r="AL547"/>
      <c r="AM547"/>
      <c r="AN547"/>
    </row>
    <row r="548" spans="33:40">
      <c r="AG548"/>
      <c r="AH548"/>
      <c r="AI548"/>
      <c r="AJ548"/>
      <c r="AK548"/>
      <c r="AL548"/>
      <c r="AM548"/>
      <c r="AN548"/>
    </row>
    <row r="549" spans="33:40">
      <c r="AG549"/>
      <c r="AH549"/>
      <c r="AI549"/>
      <c r="AJ549"/>
      <c r="AK549"/>
      <c r="AL549"/>
      <c r="AM549"/>
      <c r="AN549"/>
    </row>
    <row r="550" spans="33:40">
      <c r="AG550"/>
      <c r="AH550"/>
      <c r="AI550"/>
      <c r="AJ550"/>
      <c r="AK550"/>
      <c r="AL550"/>
      <c r="AM550"/>
      <c r="AN550"/>
    </row>
    <row r="551" spans="33:40">
      <c r="AG551"/>
      <c r="AH551"/>
      <c r="AI551"/>
      <c r="AJ551"/>
      <c r="AK551"/>
      <c r="AL551"/>
      <c r="AM551"/>
      <c r="AN551"/>
    </row>
    <row r="552" spans="33:40">
      <c r="AG552"/>
      <c r="AH552"/>
      <c r="AI552"/>
      <c r="AJ552"/>
      <c r="AK552"/>
      <c r="AL552"/>
      <c r="AM552"/>
      <c r="AN552"/>
    </row>
    <row r="553" spans="33:40">
      <c r="AG553"/>
      <c r="AH553"/>
      <c r="AI553"/>
      <c r="AJ553"/>
      <c r="AK553"/>
      <c r="AL553"/>
      <c r="AM553"/>
      <c r="AN553"/>
    </row>
    <row r="554" spans="33:40">
      <c r="AG554"/>
      <c r="AH554"/>
      <c r="AI554"/>
      <c r="AJ554"/>
      <c r="AK554"/>
      <c r="AL554"/>
      <c r="AM554"/>
      <c r="AN554"/>
    </row>
    <row r="555" spans="33:40">
      <c r="AG555"/>
      <c r="AH555"/>
      <c r="AI555"/>
      <c r="AJ555"/>
      <c r="AK555"/>
      <c r="AL555"/>
      <c r="AM555"/>
      <c r="AN555"/>
    </row>
    <row r="556" spans="33:40">
      <c r="AG556"/>
      <c r="AH556"/>
      <c r="AI556"/>
      <c r="AJ556"/>
      <c r="AK556"/>
      <c r="AL556"/>
      <c r="AM556"/>
      <c r="AN556"/>
    </row>
    <row r="557" spans="33:40">
      <c r="AG557"/>
      <c r="AH557"/>
      <c r="AI557"/>
      <c r="AJ557"/>
      <c r="AK557"/>
      <c r="AL557"/>
      <c r="AM557"/>
      <c r="AN557"/>
    </row>
    <row r="558" spans="33:40">
      <c r="AG558"/>
      <c r="AH558"/>
      <c r="AI558"/>
      <c r="AJ558"/>
      <c r="AK558"/>
      <c r="AL558"/>
      <c r="AM558"/>
      <c r="AN558"/>
    </row>
    <row r="559" spans="33:40">
      <c r="AG559"/>
      <c r="AH559"/>
      <c r="AI559"/>
      <c r="AJ559"/>
      <c r="AK559"/>
      <c r="AL559"/>
      <c r="AM559"/>
      <c r="AN559"/>
    </row>
    <row r="560" spans="33:40">
      <c r="AG560"/>
      <c r="AH560"/>
      <c r="AI560"/>
      <c r="AJ560"/>
      <c r="AK560"/>
      <c r="AL560"/>
      <c r="AM560"/>
      <c r="AN560"/>
    </row>
    <row r="561" spans="33:40">
      <c r="AG561"/>
      <c r="AH561"/>
      <c r="AI561"/>
      <c r="AJ561"/>
      <c r="AK561"/>
      <c r="AL561"/>
      <c r="AM561"/>
      <c r="AN561"/>
    </row>
    <row r="562" spans="33:40">
      <c r="AG562"/>
      <c r="AH562"/>
      <c r="AI562"/>
      <c r="AJ562"/>
      <c r="AK562"/>
      <c r="AL562"/>
      <c r="AM562"/>
      <c r="AN562"/>
    </row>
    <row r="563" spans="33:40">
      <c r="AG563"/>
      <c r="AH563"/>
      <c r="AI563"/>
      <c r="AJ563"/>
      <c r="AK563"/>
      <c r="AL563"/>
      <c r="AM563"/>
      <c r="AN563"/>
    </row>
    <row r="564" spans="33:40">
      <c r="AG564"/>
      <c r="AH564"/>
      <c r="AI564"/>
      <c r="AJ564"/>
      <c r="AK564"/>
      <c r="AL564"/>
      <c r="AM564"/>
      <c r="AN564"/>
    </row>
    <row r="565" spans="33:40">
      <c r="AG565"/>
      <c r="AH565"/>
      <c r="AI565"/>
      <c r="AJ565"/>
      <c r="AK565"/>
      <c r="AL565"/>
      <c r="AM565"/>
      <c r="AN565"/>
    </row>
    <row r="566" spans="33:40">
      <c r="AG566"/>
      <c r="AH566"/>
      <c r="AI566"/>
      <c r="AJ566"/>
      <c r="AK566"/>
      <c r="AL566"/>
      <c r="AM566"/>
      <c r="AN566"/>
    </row>
    <row r="567" spans="33:40">
      <c r="AG567"/>
      <c r="AH567"/>
      <c r="AI567"/>
      <c r="AJ567"/>
      <c r="AK567"/>
      <c r="AL567"/>
      <c r="AM567"/>
      <c r="AN567"/>
    </row>
    <row r="568" spans="33:40">
      <c r="AG568"/>
      <c r="AH568"/>
      <c r="AI568"/>
      <c r="AJ568"/>
      <c r="AK568"/>
      <c r="AL568"/>
      <c r="AM568"/>
      <c r="AN568"/>
    </row>
    <row r="569" spans="33:40">
      <c r="AG569"/>
      <c r="AH569"/>
      <c r="AI569"/>
      <c r="AJ569"/>
      <c r="AK569"/>
      <c r="AL569"/>
      <c r="AM569"/>
      <c r="AN569"/>
    </row>
    <row r="570" spans="33:40">
      <c r="AG570"/>
      <c r="AH570"/>
      <c r="AI570"/>
      <c r="AJ570"/>
      <c r="AK570"/>
      <c r="AL570"/>
      <c r="AM570"/>
      <c r="AN570"/>
    </row>
    <row r="571" spans="33:40">
      <c r="AG571"/>
      <c r="AH571"/>
      <c r="AI571"/>
      <c r="AJ571"/>
      <c r="AK571"/>
      <c r="AL571"/>
      <c r="AM571"/>
      <c r="AN571"/>
    </row>
    <row r="572" spans="33:40">
      <c r="AG572"/>
      <c r="AH572"/>
      <c r="AI572"/>
      <c r="AJ572"/>
      <c r="AK572"/>
      <c r="AL572"/>
      <c r="AM572"/>
      <c r="AN572"/>
    </row>
    <row r="573" spans="33:40">
      <c r="AG573"/>
      <c r="AH573"/>
      <c r="AI573"/>
      <c r="AJ573"/>
      <c r="AK573"/>
      <c r="AL573"/>
      <c r="AM573"/>
      <c r="AN573"/>
    </row>
    <row r="574" spans="33:40">
      <c r="AG574"/>
      <c r="AH574"/>
      <c r="AI574"/>
      <c r="AJ574"/>
      <c r="AK574"/>
      <c r="AL574"/>
      <c r="AM574"/>
      <c r="AN574"/>
    </row>
    <row r="575" spans="33:40">
      <c r="AG575"/>
      <c r="AH575"/>
      <c r="AI575"/>
      <c r="AJ575"/>
      <c r="AK575"/>
      <c r="AL575"/>
      <c r="AM575"/>
      <c r="AN575"/>
    </row>
    <row r="576" spans="33:40">
      <c r="AG576"/>
      <c r="AH576"/>
      <c r="AI576"/>
      <c r="AJ576"/>
      <c r="AK576"/>
      <c r="AL576"/>
      <c r="AM576"/>
      <c r="AN576"/>
    </row>
    <row r="577" spans="33:40">
      <c r="AG577"/>
      <c r="AH577"/>
      <c r="AI577"/>
      <c r="AJ577"/>
      <c r="AK577"/>
      <c r="AL577"/>
      <c r="AM577"/>
      <c r="AN577"/>
    </row>
    <row r="578" spans="33:40">
      <c r="AG578"/>
      <c r="AH578"/>
      <c r="AI578"/>
      <c r="AJ578"/>
      <c r="AK578"/>
      <c r="AL578"/>
      <c r="AM578"/>
      <c r="AN578"/>
    </row>
    <row r="579" spans="33:40">
      <c r="AG579"/>
      <c r="AH579"/>
      <c r="AI579"/>
      <c r="AJ579"/>
      <c r="AK579"/>
      <c r="AL579"/>
      <c r="AM579"/>
      <c r="AN579"/>
    </row>
    <row r="580" spans="33:40">
      <c r="AG580"/>
      <c r="AH580"/>
      <c r="AI580"/>
      <c r="AJ580"/>
      <c r="AK580"/>
      <c r="AL580"/>
      <c r="AM580"/>
      <c r="AN580"/>
    </row>
    <row r="581" spans="33:40">
      <c r="AG581"/>
      <c r="AH581"/>
      <c r="AI581"/>
      <c r="AJ581"/>
      <c r="AK581"/>
      <c r="AL581"/>
      <c r="AM581"/>
      <c r="AN581"/>
    </row>
    <row r="582" spans="33:40">
      <c r="AG582"/>
      <c r="AH582"/>
      <c r="AI582"/>
      <c r="AJ582"/>
      <c r="AK582"/>
      <c r="AL582"/>
      <c r="AM582"/>
      <c r="AN582"/>
    </row>
    <row r="583" spans="33:40">
      <c r="AG583"/>
      <c r="AH583"/>
      <c r="AI583"/>
      <c r="AJ583"/>
      <c r="AK583"/>
      <c r="AL583"/>
      <c r="AM583"/>
      <c r="AN583"/>
    </row>
    <row r="584" spans="33:40">
      <c r="AG584"/>
      <c r="AH584"/>
      <c r="AI584"/>
      <c r="AJ584"/>
      <c r="AK584"/>
      <c r="AL584"/>
      <c r="AM584"/>
      <c r="AN584"/>
    </row>
    <row r="585" spans="33:40">
      <c r="AG585"/>
      <c r="AH585"/>
      <c r="AI585"/>
      <c r="AJ585"/>
      <c r="AK585"/>
      <c r="AL585"/>
      <c r="AM585"/>
      <c r="AN585"/>
    </row>
    <row r="586" spans="33:40">
      <c r="AG586"/>
      <c r="AH586"/>
      <c r="AI586"/>
      <c r="AJ586"/>
      <c r="AK586"/>
      <c r="AL586"/>
      <c r="AM586"/>
      <c r="AN586"/>
    </row>
    <row r="587" spans="33:40">
      <c r="AG587"/>
      <c r="AH587"/>
      <c r="AI587"/>
      <c r="AJ587"/>
      <c r="AK587"/>
      <c r="AL587"/>
      <c r="AM587"/>
      <c r="AN587"/>
    </row>
    <row r="588" spans="33:40">
      <c r="AG588"/>
      <c r="AH588"/>
      <c r="AI588"/>
      <c r="AJ588"/>
      <c r="AK588"/>
      <c r="AL588"/>
      <c r="AM588"/>
      <c r="AN588"/>
    </row>
    <row r="589" spans="33:40">
      <c r="AG589"/>
      <c r="AH589"/>
      <c r="AI589"/>
      <c r="AJ589"/>
      <c r="AK589"/>
      <c r="AL589"/>
      <c r="AM589"/>
      <c r="AN589"/>
    </row>
    <row r="590" spans="33:40">
      <c r="AG590"/>
      <c r="AH590"/>
      <c r="AI590"/>
      <c r="AJ590"/>
      <c r="AK590"/>
      <c r="AL590"/>
      <c r="AM590"/>
      <c r="AN590"/>
    </row>
    <row r="591" spans="33:40">
      <c r="AG591"/>
      <c r="AH591"/>
      <c r="AI591"/>
      <c r="AJ591"/>
      <c r="AK591"/>
      <c r="AL591"/>
      <c r="AM591"/>
      <c r="AN591"/>
    </row>
    <row r="592" spans="33:40">
      <c r="AG592"/>
      <c r="AH592"/>
      <c r="AI592"/>
      <c r="AJ592"/>
      <c r="AK592"/>
      <c r="AL592"/>
      <c r="AM592"/>
      <c r="AN592"/>
    </row>
    <row r="593" spans="33:40">
      <c r="AG593"/>
      <c r="AH593"/>
      <c r="AI593"/>
      <c r="AJ593"/>
      <c r="AK593"/>
      <c r="AL593"/>
      <c r="AM593"/>
      <c r="AN593"/>
    </row>
    <row r="594" spans="33:40">
      <c r="AG594"/>
      <c r="AH594"/>
      <c r="AI594"/>
      <c r="AJ594"/>
      <c r="AK594"/>
      <c r="AL594"/>
      <c r="AM594"/>
      <c r="AN594"/>
    </row>
    <row r="595" spans="33:40">
      <c r="AG595"/>
      <c r="AH595"/>
      <c r="AI595"/>
      <c r="AJ595"/>
      <c r="AK595"/>
      <c r="AL595"/>
      <c r="AM595"/>
      <c r="AN595"/>
    </row>
    <row r="596" spans="33:40">
      <c r="AG596"/>
      <c r="AH596"/>
      <c r="AI596"/>
      <c r="AJ596"/>
      <c r="AK596"/>
      <c r="AL596"/>
      <c r="AM596"/>
      <c r="AN596"/>
    </row>
    <row r="597" spans="33:40">
      <c r="AG597"/>
      <c r="AH597"/>
      <c r="AI597"/>
      <c r="AJ597"/>
      <c r="AK597"/>
      <c r="AL597"/>
      <c r="AM597"/>
      <c r="AN597"/>
    </row>
    <row r="598" spans="33:40">
      <c r="AG598"/>
      <c r="AH598"/>
      <c r="AI598"/>
      <c r="AJ598"/>
      <c r="AK598"/>
      <c r="AL598"/>
      <c r="AM598"/>
      <c r="AN598"/>
    </row>
    <row r="599" spans="33:40">
      <c r="AG599"/>
      <c r="AH599"/>
      <c r="AI599"/>
      <c r="AJ599"/>
      <c r="AK599"/>
      <c r="AL599"/>
      <c r="AM599"/>
      <c r="AN599"/>
    </row>
    <row r="600" spans="33:40">
      <c r="AG600"/>
      <c r="AH600"/>
      <c r="AI600"/>
      <c r="AJ600"/>
      <c r="AK600"/>
      <c r="AL600"/>
      <c r="AM600"/>
      <c r="AN600"/>
    </row>
  </sheetData>
  <customSheetViews>
    <customSheetView guid="{A1A80B5C-2CE2-4C99-93FF-BF9E8876EAD0}" scale="85" showRuler="0">
      <selection activeCell="X18" sqref="X18:AC21"/>
      <pageMargins left="0.75" right="0.75" top="1" bottom="1" header="0.5" footer="0.5"/>
      <pageSetup paperSize="9" orientation="portrait" r:id="rId1"/>
      <headerFooter alignWithMargins="0"/>
    </customSheetView>
  </customSheetViews>
  <mergeCells count="65">
    <mergeCell ref="J26:J27"/>
    <mergeCell ref="B30:C30"/>
    <mergeCell ref="D30:E30"/>
    <mergeCell ref="B17:C17"/>
    <mergeCell ref="D17:E17"/>
    <mergeCell ref="N38:O51"/>
    <mergeCell ref="K26:K27"/>
    <mergeCell ref="B27:C27"/>
    <mergeCell ref="D27:E27"/>
    <mergeCell ref="B28:C28"/>
    <mergeCell ref="D28:E28"/>
    <mergeCell ref="H28:H30"/>
    <mergeCell ref="I28:K30"/>
    <mergeCell ref="B29:C29"/>
    <mergeCell ref="D29:E29"/>
    <mergeCell ref="B16:C16"/>
    <mergeCell ref="D16:E16"/>
    <mergeCell ref="H20:K21"/>
    <mergeCell ref="H22:K24"/>
    <mergeCell ref="B25:C25"/>
    <mergeCell ref="D25:E25"/>
    <mergeCell ref="H25:H27"/>
    <mergeCell ref="B26:C26"/>
    <mergeCell ref="D26:E26"/>
    <mergeCell ref="I26:I27"/>
    <mergeCell ref="F11:G11"/>
    <mergeCell ref="B12:C12"/>
    <mergeCell ref="D12:E12"/>
    <mergeCell ref="F12:G12"/>
    <mergeCell ref="B14:G14"/>
    <mergeCell ref="B15:C15"/>
    <mergeCell ref="D15:E15"/>
    <mergeCell ref="D7:E7"/>
    <mergeCell ref="B9:C9"/>
    <mergeCell ref="D9:E9"/>
    <mergeCell ref="B8:C8"/>
    <mergeCell ref="D8:E8"/>
    <mergeCell ref="B11:C11"/>
    <mergeCell ref="D11:E11"/>
    <mergeCell ref="H2:K4"/>
    <mergeCell ref="T2:T4"/>
    <mergeCell ref="U3:U4"/>
    <mergeCell ref="I7:K9"/>
    <mergeCell ref="B5:C5"/>
    <mergeCell ref="D5:E5"/>
    <mergeCell ref="H5:H9"/>
    <mergeCell ref="B6:C6"/>
    <mergeCell ref="D6:E6"/>
    <mergeCell ref="B7:C7"/>
    <mergeCell ref="AC2:AD4"/>
    <mergeCell ref="AB5:AC7"/>
    <mergeCell ref="AD6:AD7"/>
    <mergeCell ref="L35:L36"/>
    <mergeCell ref="X7:Y7"/>
    <mergeCell ref="X10:AA11"/>
    <mergeCell ref="X15:Y15"/>
    <mergeCell ref="AB2:AB4"/>
    <mergeCell ref="X18:AC22"/>
    <mergeCell ref="X27:AC34"/>
    <mergeCell ref="AG2:AH2"/>
    <mergeCell ref="AI2:AJ2"/>
    <mergeCell ref="AK2:AL2"/>
    <mergeCell ref="AG3:AH3"/>
    <mergeCell ref="AI3:AJ3"/>
    <mergeCell ref="AK3:AL3"/>
  </mergeCells>
  <phoneticPr fontId="3" type="noConversion"/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Инструкция</vt:lpstr>
      <vt:lpstr>ВР_ИЗМ</vt:lpstr>
      <vt:lpstr>Штамп</vt:lpstr>
      <vt:lpstr>ВР_ИЗМ!Область_печати</vt:lpstr>
    </vt:vector>
  </TitlesOfParts>
  <Company>UUU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GTP</dc:creator>
  <cp:lastModifiedBy>Игорь</cp:lastModifiedBy>
  <cp:lastPrinted>2021-08-20T10:33:41Z</cp:lastPrinted>
  <dcterms:created xsi:type="dcterms:W3CDTF">2007-02-27T10:56:00Z</dcterms:created>
  <dcterms:modified xsi:type="dcterms:W3CDTF">2026-05-18T16:11:54Z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Группа">
    <vt:lpwstr>Спецификация</vt:lpwstr>
  </property>
</Properties>
</file>