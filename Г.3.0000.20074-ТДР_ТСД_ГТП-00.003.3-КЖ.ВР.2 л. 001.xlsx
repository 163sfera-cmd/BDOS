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Игорь\Desktop\BDOS\для обработки\"/>
    </mc:Choice>
  </mc:AlternateContent>
  <bookViews>
    <workbookView xWindow="150" yWindow="105" windowWidth="13425" windowHeight="11640" activeTab="1"/>
  </bookViews>
  <sheets>
    <sheet name="Инструкция" sheetId="1" r:id="rId1"/>
    <sheet name="ВР_ИЗМ" sheetId="9" r:id="rId2"/>
    <sheet name="Штамп" sheetId="7" r:id="rId3"/>
  </sheets>
  <externalReferences>
    <externalReference r:id="rId4"/>
    <externalReference r:id="rId5"/>
  </externalReferences>
  <definedNames>
    <definedName name="_MM01">[2]ГрМТР!#REF!</definedName>
    <definedName name="_MM02">[2]ГрМТР!#REF!</definedName>
    <definedName name="_MM03">[2]ГрМТР!#REF!</definedName>
    <definedName name="_MM04">[2]ГрМТР!#REF!</definedName>
    <definedName name="_MM05">[2]ГрМТР!#REF!</definedName>
    <definedName name="_MM06">[2]ГрМТР!#REF!</definedName>
    <definedName name="_MM07">[2]ГрМТР!#REF!</definedName>
    <definedName name="_MM08">[2]ГрМТР!#REF!</definedName>
    <definedName name="_MM09">[2]ГрМТР!#REF!</definedName>
    <definedName name="_MM10">[2]ГрМТР!#REF!</definedName>
    <definedName name="_MM11">[2]ГрМТР!#REF!</definedName>
    <definedName name="_MM12">[2]ГрМТР!#REF!</definedName>
    <definedName name="_MM13">[2]ГрМТР!#REF!</definedName>
    <definedName name="_MM14">[2]ГрМТР!#REF!</definedName>
    <definedName name="_MM15">[2]ГрМТР!#REF!</definedName>
    <definedName name="_mm16">[2]ГрМТР!#REF!</definedName>
    <definedName name="_mm17">[2]ГрМТР!#REF!</definedName>
    <definedName name="_mm18">[2]ГрМТР!#REF!</definedName>
    <definedName name="_mm19">[2]ГрМТР!#REF!</definedName>
    <definedName name="_mm20">[2]ГрМТР!#REF!</definedName>
    <definedName name="_mm21">[2]ГрМТР!#REF!</definedName>
    <definedName name="_MN09">[2]ГрМТР!#REF!</definedName>
    <definedName name="_MN10">[2]ГрМТР!#REF!</definedName>
    <definedName name="_MN11">[2]ГрМТР!#REF!</definedName>
    <definedName name="_MN12">[2]ГрМТР!#REF!</definedName>
    <definedName name="MNFullTitle">[2]ГрМТР!#REF!</definedName>
    <definedName name="MNFullTitle2">[2]ГрМТР!#REF!</definedName>
    <definedName name="name1">[2]ГрМТР!#REF!</definedName>
    <definedName name="name2">[2]ГрМТР!#REF!</definedName>
    <definedName name="PricePrim">[2]ГрМТР!#REF!</definedName>
    <definedName name="PricePrim2">[2]ГрМТР!#REF!</definedName>
    <definedName name="PZS_Ob">[2]ГрМТР!#REF!</definedName>
    <definedName name="PZS_TERM">[2]ГрМТР!#REF!</definedName>
    <definedName name="PZS_YR">[2]ГрМТР!#REF!</definedName>
    <definedName name="PZSNumber">[2]ГрМТР!#REF!</definedName>
    <definedName name="_rub1">[2]ГрМТР!#REF!</definedName>
    <definedName name="_rub2">[2]ГрМТР!#REF!</definedName>
    <definedName name="_Sum1">[2]ГрМТР!#REF!</definedName>
    <definedName name="_sum2">[2]ГрМТР!#REF!</definedName>
    <definedName name="Z_A1A80B5C_2CE2_4C99_93FF_BF9E8876EAD0_.wvu.PrintArea" localSheetId="1" hidden="1">ВР_ИЗМ!#REF!</definedName>
    <definedName name="апро">[1]Лист2!$A$1:$A$3</definedName>
    <definedName name="_xlnm.Print_Area" localSheetId="1">ВР_ИЗМ!$A$1:$N$326</definedName>
  </definedNames>
  <calcPr calcId="162913"/>
  <customWorkbookViews>
    <customWorkbookView name="FIL_EXPERT - Личное представление" guid="{A1A80B5C-2CE2-4C99-93FF-BF9E8876EAD0}" mergeInterval="0" personalView="1" maximized="1" windowWidth="1276" windowHeight="806" activeSheetId="5" showComments="commIndAndComment"/>
  </customWorkbookViews>
</workbook>
</file>

<file path=xl/calcChain.xml><?xml version="1.0" encoding="utf-8"?>
<calcChain xmlns="http://schemas.openxmlformats.org/spreadsheetml/2006/main">
  <c r="Q10" i="9" l="1"/>
  <c r="J9" i="9"/>
  <c r="H9" i="9"/>
  <c r="E9" i="9"/>
  <c r="P11" i="9"/>
  <c r="Q11" i="9"/>
  <c r="U109" i="9"/>
  <c r="O289" i="9"/>
  <c r="P248" i="9"/>
  <c r="S248" i="9"/>
  <c r="T248" i="9"/>
  <c r="S137" i="9"/>
  <c r="T137" i="9"/>
  <c r="S140" i="9"/>
  <c r="S139" i="9"/>
  <c r="O320" i="9"/>
  <c r="O318" i="9"/>
  <c r="O158" i="9"/>
  <c r="O314" i="9"/>
  <c r="O308" i="9"/>
  <c r="O156" i="9"/>
  <c r="O155" i="9"/>
  <c r="O157" i="9"/>
  <c r="O313" i="9"/>
  <c r="O301" i="9"/>
  <c r="O312" i="9"/>
  <c r="O300" i="9"/>
  <c r="P289" i="9"/>
  <c r="Q289" i="9"/>
  <c r="O279" i="9"/>
  <c r="P279" i="9"/>
  <c r="O280" i="9"/>
  <c r="P280" i="9"/>
  <c r="O281" i="9"/>
  <c r="P281" i="9"/>
  <c r="O278" i="9"/>
  <c r="Q278" i="9"/>
  <c r="P278" i="9"/>
  <c r="R277" i="9"/>
  <c r="S277" i="9"/>
  <c r="T277" i="9"/>
  <c r="O277" i="9"/>
  <c r="O288" i="9"/>
  <c r="P277" i="9"/>
  <c r="Q277" i="9"/>
  <c r="O274" i="9"/>
  <c r="P274" i="9"/>
  <c r="P273" i="9"/>
  <c r="Q273" i="9"/>
  <c r="O273" i="9"/>
  <c r="O293" i="9"/>
  <c r="P293" i="9"/>
  <c r="O245" i="9"/>
  <c r="P245" i="9"/>
  <c r="O271" i="9"/>
  <c r="P271" i="9"/>
  <c r="O269" i="9"/>
  <c r="O268" i="9"/>
  <c r="O267" i="9"/>
  <c r="O266" i="9"/>
  <c r="O234" i="9"/>
  <c r="O290" i="9"/>
  <c r="O264" i="9"/>
  <c r="O257" i="9"/>
  <c r="P257" i="9"/>
  <c r="Q257" i="9"/>
  <c r="O253" i="9"/>
  <c r="P253" i="9"/>
  <c r="O254" i="9"/>
  <c r="P254" i="9"/>
  <c r="O255" i="9"/>
  <c r="P255" i="9"/>
  <c r="O252" i="9"/>
  <c r="Q252" i="9"/>
  <c r="P252" i="9"/>
  <c r="R251" i="9"/>
  <c r="Q251" i="9"/>
  <c r="P251" i="9"/>
  <c r="O251" i="9"/>
  <c r="O256" i="9"/>
  <c r="O248" i="9"/>
  <c r="O247" i="9"/>
  <c r="O249" i="9"/>
  <c r="P247" i="9"/>
  <c r="O243" i="9"/>
  <c r="O235" i="9"/>
  <c r="O242" i="9"/>
  <c r="O232" i="9"/>
  <c r="O231" i="9"/>
  <c r="O230" i="9"/>
  <c r="O229" i="9"/>
  <c r="Q221" i="9"/>
  <c r="O222" i="9"/>
  <c r="O223" i="9"/>
  <c r="O224" i="9"/>
  <c r="O221" i="9"/>
  <c r="O13" i="9"/>
  <c r="O7" i="9"/>
  <c r="O9" i="9"/>
  <c r="O10" i="9"/>
  <c r="P10" i="9"/>
  <c r="S124" i="9"/>
  <c r="S49" i="9"/>
  <c r="P94" i="9"/>
  <c r="O94" i="9"/>
  <c r="Q94" i="9"/>
  <c r="S89" i="9"/>
  <c r="Q88" i="9"/>
  <c r="P84" i="9"/>
  <c r="S79" i="9"/>
  <c r="R68" i="9"/>
  <c r="S68" i="9"/>
  <c r="S63" i="9"/>
  <c r="S62" i="9"/>
  <c r="R125" i="9"/>
  <c r="S126" i="9"/>
  <c r="R126" i="9"/>
  <c r="Q125" i="9"/>
  <c r="S125" i="9"/>
  <c r="S115" i="9"/>
  <c r="P115" i="9"/>
  <c r="Q115" i="9"/>
  <c r="P124" i="9"/>
  <c r="R115" i="9"/>
  <c r="T111" i="9"/>
  <c r="U111" i="9"/>
  <c r="Q110" i="9"/>
  <c r="T109" i="9"/>
  <c r="S108" i="9"/>
  <c r="Q106" i="9"/>
  <c r="R105" i="9"/>
  <c r="S105" i="9"/>
  <c r="R104" i="9"/>
  <c r="S104" i="9"/>
  <c r="S97" i="9"/>
  <c r="P58" i="9"/>
  <c r="Q58" i="9"/>
  <c r="Q53" i="9"/>
  <c r="Q52" i="9"/>
  <c r="P49" i="9"/>
  <c r="Q49" i="9"/>
  <c r="Q38" i="9"/>
  <c r="Q37" i="9"/>
  <c r="P34" i="9"/>
  <c r="Q29" i="9"/>
  <c r="O125" i="9"/>
  <c r="O115" i="9"/>
  <c r="O124" i="9"/>
  <c r="R111" i="9"/>
  <c r="S111" i="9"/>
  <c r="Q109" i="9"/>
  <c r="R109" i="9"/>
  <c r="Q108" i="9"/>
  <c r="P107" i="9"/>
  <c r="Q107" i="9"/>
  <c r="Q105" i="9"/>
  <c r="Q104" i="9"/>
  <c r="Q97" i="9"/>
  <c r="P126" i="9"/>
  <c r="P125" i="9"/>
  <c r="O117" i="9"/>
  <c r="O182" i="9"/>
  <c r="O178" i="9"/>
  <c r="O179" i="9"/>
  <c r="Q89" i="9"/>
  <c r="P91" i="9"/>
  <c r="Q91" i="9"/>
  <c r="P81" i="9"/>
  <c r="Q81" i="9"/>
  <c r="P79" i="9"/>
  <c r="Q79" i="9"/>
  <c r="Q63" i="9"/>
  <c r="P65" i="9"/>
  <c r="P40" i="9"/>
  <c r="P150" i="9"/>
  <c r="Q150" i="9"/>
  <c r="P148" i="9"/>
  <c r="Q148" i="9"/>
  <c r="R141" i="9"/>
  <c r="Q141" i="9"/>
  <c r="S141" i="9"/>
  <c r="P140" i="9"/>
  <c r="Q140" i="9"/>
  <c r="P139" i="9"/>
  <c r="Q139" i="9"/>
  <c r="O139" i="9"/>
  <c r="Q137" i="9"/>
  <c r="R137" i="9"/>
  <c r="S114" i="9"/>
  <c r="T127" i="9"/>
  <c r="S127" i="9"/>
  <c r="R127" i="9"/>
  <c r="O175" i="9"/>
  <c r="O170" i="9"/>
  <c r="O176" i="9"/>
  <c r="P26" i="9"/>
  <c r="O26" i="9"/>
  <c r="P25" i="9"/>
  <c r="O25" i="9"/>
  <c r="P24" i="9"/>
  <c r="O24" i="9"/>
  <c r="R15" i="9"/>
  <c r="T15" i="9"/>
  <c r="O127" i="9"/>
  <c r="P127" i="9"/>
  <c r="Q127" i="9"/>
  <c r="P111" i="9"/>
  <c r="Q111" i="9"/>
  <c r="O109" i="9"/>
  <c r="O110" i="9"/>
  <c r="Q23" i="9"/>
  <c r="P23" i="9"/>
  <c r="O150" i="9"/>
  <c r="P137" i="9"/>
  <c r="O140" i="9"/>
  <c r="O137" i="9"/>
  <c r="P149" i="9"/>
  <c r="O149" i="9"/>
  <c r="O148" i="9"/>
  <c r="O141" i="9"/>
  <c r="O134" i="9"/>
  <c r="O135" i="9"/>
  <c r="O133" i="9"/>
  <c r="O132" i="9"/>
  <c r="O130" i="9"/>
  <c r="O131" i="9"/>
  <c r="O128" i="9"/>
  <c r="O106" i="9"/>
  <c r="O114" i="9"/>
  <c r="O107" i="9"/>
  <c r="O111" i="9"/>
  <c r="O112" i="9"/>
  <c r="P112" i="9"/>
  <c r="P113" i="9"/>
  <c r="O104" i="9"/>
  <c r="O105" i="9"/>
  <c r="O97" i="9"/>
  <c r="O95" i="9"/>
  <c r="O93" i="9"/>
  <c r="O92" i="9"/>
  <c r="O91" i="9"/>
  <c r="O90" i="9"/>
  <c r="O89" i="9"/>
  <c r="O88" i="9"/>
  <c r="O84" i="9"/>
  <c r="Q84" i="9"/>
  <c r="O85" i="9"/>
  <c r="O81" i="9"/>
  <c r="O80" i="9"/>
  <c r="O82" i="9"/>
  <c r="O86" i="9"/>
  <c r="O83" i="9"/>
  <c r="O79" i="9"/>
  <c r="O78" i="9"/>
  <c r="O65" i="9"/>
  <c r="Q65" i="9"/>
  <c r="O76" i="9"/>
  <c r="O69" i="9"/>
  <c r="O68" i="9"/>
  <c r="O67" i="9"/>
  <c r="O66" i="9"/>
  <c r="O64" i="9"/>
  <c r="O63" i="9"/>
  <c r="O62" i="9"/>
  <c r="O60" i="9"/>
  <c r="O59" i="9"/>
  <c r="O58" i="9"/>
  <c r="O57" i="9"/>
  <c r="O56" i="9"/>
  <c r="O55" i="9"/>
  <c r="O54" i="9"/>
  <c r="O53" i="9"/>
  <c r="O52" i="9"/>
  <c r="O40" i="9"/>
  <c r="Q40" i="9"/>
  <c r="O50" i="9"/>
  <c r="O49" i="9"/>
  <c r="O48" i="9"/>
  <c r="O41" i="9"/>
  <c r="O39" i="9"/>
  <c r="O38" i="9"/>
  <c r="O37" i="9"/>
  <c r="O35" i="9"/>
  <c r="O34" i="9"/>
  <c r="Q34" i="9"/>
  <c r="O32" i="9"/>
  <c r="O31" i="9"/>
  <c r="O30" i="9"/>
  <c r="O33" i="9"/>
  <c r="O29" i="9"/>
  <c r="O28" i="9"/>
  <c r="Q28" i="9"/>
  <c r="O15" i="9"/>
  <c r="S15" i="9"/>
  <c r="Q15" i="9"/>
  <c r="O8" i="9"/>
  <c r="X18" i="7"/>
  <c r="P109" i="9"/>
  <c r="O275" i="9"/>
  <c r="Q7" i="9"/>
  <c r="Q247" i="9"/>
  <c r="O225" i="9"/>
  <c r="O226" i="9"/>
  <c r="Q124" i="9"/>
  <c r="O227" i="9"/>
</calcChain>
</file>

<file path=xl/sharedStrings.xml><?xml version="1.0" encoding="utf-8"?>
<sst xmlns="http://schemas.openxmlformats.org/spreadsheetml/2006/main" count="2368" uniqueCount="579">
  <si>
    <t>Стадия</t>
  </si>
  <si>
    <t>Листов</t>
  </si>
  <si>
    <t>Р</t>
  </si>
  <si>
    <t>Проверил</t>
  </si>
  <si>
    <t/>
  </si>
  <si>
    <t>Разработал</t>
  </si>
  <si>
    <t>Н. контр.</t>
  </si>
  <si>
    <t>Н.контр.</t>
  </si>
  <si>
    <t>Инв. № подп.</t>
  </si>
  <si>
    <t>Подпись и дата</t>
  </si>
  <si>
    <t>Взам инв. №</t>
  </si>
  <si>
    <t>Ширину колонок и строк не изменять</t>
  </si>
  <si>
    <t>Согласовано:</t>
  </si>
  <si>
    <t>Таблица изменений по листам (начиная со 2-го)</t>
  </si>
  <si>
    <t>№ ЛИСТА</t>
  </si>
  <si>
    <t>Кол. уч.</t>
  </si>
  <si>
    <t xml:space="preserve">Изменения должны располагаться </t>
  </si>
  <si>
    <t>в таблице в хронологическом порядке</t>
  </si>
  <si>
    <t>Примечание</t>
  </si>
  <si>
    <t>Вып.</t>
  </si>
  <si>
    <t>Выпустил</t>
  </si>
  <si>
    <t>Разрешение 12ХХ-08</t>
  </si>
  <si>
    <t>Гл. спец.</t>
  </si>
  <si>
    <t xml:space="preserve">
</t>
  </si>
  <si>
    <t>11.08</t>
  </si>
  <si>
    <t>№  док.</t>
  </si>
  <si>
    <t>Поле информации на 1 лист</t>
  </si>
  <si>
    <t>Информация об объекте</t>
  </si>
  <si>
    <t xml:space="preserve">Таблица корректировок работает,  </t>
  </si>
  <si>
    <t>если нет информации в боковом штампе</t>
  </si>
  <si>
    <t>в ячейках AD3, AE3 - она</t>
  </si>
  <si>
    <t xml:space="preserve"> распространяется на весь документ</t>
  </si>
  <si>
    <t>В колонке Изм. Вводить номер замечания</t>
  </si>
  <si>
    <t>(цифра)</t>
  </si>
  <si>
    <t>В колонку Корр. вводить номер кор.</t>
  </si>
  <si>
    <t>№</t>
  </si>
  <si>
    <t>Наименование</t>
  </si>
  <si>
    <t>Ед.изм.</t>
  </si>
  <si>
    <t>Изм</t>
  </si>
  <si>
    <t>Всего</t>
  </si>
  <si>
    <t>Погудин</t>
  </si>
  <si>
    <t>Нач.отд.</t>
  </si>
  <si>
    <t>Белинский</t>
  </si>
  <si>
    <t>Гл.спец.</t>
  </si>
  <si>
    <t>Лукин</t>
  </si>
  <si>
    <t>Инв. №</t>
  </si>
  <si>
    <t>Привязан</t>
  </si>
  <si>
    <t>Разраб</t>
  </si>
  <si>
    <t>Навание обекта</t>
  </si>
  <si>
    <t>Ширина колонки А задается автоматически.</t>
  </si>
  <si>
    <t>Если правая граница колонки не совпадает с правой границей штампа,</t>
  </si>
  <si>
    <t>Конечная строка определяется по колонке В:</t>
  </si>
  <si>
    <t>Разграфить колонки и строки пользователь должен сам. Строки рекомендется подчеркивать тонкими</t>
  </si>
  <si>
    <t>линиями.</t>
  </si>
  <si>
    <t>Батурбаева</t>
  </si>
  <si>
    <t>Штамп корректировки</t>
  </si>
  <si>
    <t>Власов</t>
  </si>
  <si>
    <t>Шапка должна начинаться с 1 строки. Количество строк под шапку надо задать в параметрах страницы:</t>
  </si>
  <si>
    <t>на пример точку. В последующих строках в этой колонке не должно быть информации.</t>
  </si>
  <si>
    <t>Для вывода на печать необходимо задать Границу печати следующим путем:</t>
  </si>
  <si>
    <t>Вид\Разметка страницы;</t>
  </si>
  <si>
    <t>при увеличении числа колонок:</t>
  </si>
  <si>
    <t>при уменьшении числа колонок:</t>
  </si>
  <si>
    <t>Переместить вправо границу печати на нужную колонку;</t>
  </si>
  <si>
    <t>синей (пунктирной) линии слева от границы печати.</t>
  </si>
  <si>
    <t xml:space="preserve">Переместить появившуюся линию вправо на границу печати. Так автоматически задали </t>
  </si>
  <si>
    <t>нужный процент отображения.</t>
  </si>
  <si>
    <t>в меню Файл\Параметры страницы на вкладке Страница увеличить масштаб до появления</t>
  </si>
  <si>
    <t>переместить на гранцу печати вправо.</t>
  </si>
  <si>
    <t>Выводимая на печать информация начинается с первой строки.</t>
  </si>
  <si>
    <t xml:space="preserve">Если появилось несколько синих линий (задали слишком большой масштаб), то все линии </t>
  </si>
  <si>
    <t>в строке до которой надо вывести информацию на печать, в колонке В вводим любой символ,</t>
  </si>
  <si>
    <t xml:space="preserve">В предварительном просмотре можно оценить как расложилась информация на листе после </t>
  </si>
  <si>
    <t>вставки штампов:</t>
  </si>
  <si>
    <t>желательно просмотреть все листы.</t>
  </si>
  <si>
    <t>~!'Gt)(+Jt&amp;&lt;&gt;FBg#y?KY#yrY67|*</t>
  </si>
  <si>
    <t>кнопкой Поля включить отображение маркеров колонок и границ страницы;</t>
  </si>
  <si>
    <t xml:space="preserve">если правая граница информации слишком далеко от правой границы страницы, </t>
  </si>
  <si>
    <t>границы страниц менять нельзя;</t>
  </si>
  <si>
    <t>Если штампы вставились неправильно, то повторите операцию вставки штампов.</t>
  </si>
  <si>
    <t xml:space="preserve">Часто это происходит после изменения границ печати, ширины колонок, высоты строк.  </t>
  </si>
  <si>
    <t>то изменить границу колонки до границы штампа.</t>
  </si>
  <si>
    <t>При вставленных штампах удалять из колонки А нельзя. Там находится служебная информация.</t>
  </si>
  <si>
    <t>Переместить влево границу печати на нужную колонку;</t>
  </si>
  <si>
    <t>то маркером любой колонки переместить правую границу информации ближе к границе страницы;</t>
  </si>
  <si>
    <t>Надо изменить конечную цифру диапазона.</t>
  </si>
  <si>
    <t>в меню Файл\Параметры страницы на вкладке Лист поле Сквозные строки.</t>
  </si>
  <si>
    <t>Если слева от границы печати появилась еще одна (или несколько) синяя линяя, то переместить</t>
  </si>
  <si>
    <t>ее (их) на границу печати (вправо).</t>
  </si>
  <si>
    <t>Колонка А используется для вставки бокового штампа. Использовать ее для ввода информации нельзя.</t>
  </si>
  <si>
    <t>В запросе на выбор принтера указать принтер, на который будет происходить печать.</t>
  </si>
  <si>
    <t>В запросе на выбор штампа для первой страницы указать соответствующий номер.</t>
  </si>
  <si>
    <t>Количество</t>
  </si>
  <si>
    <t>Лист</t>
  </si>
  <si>
    <t>Изм.</t>
  </si>
  <si>
    <t>Кол. уч</t>
  </si>
  <si>
    <t>№ док</t>
  </si>
  <si>
    <t>Подп.</t>
  </si>
  <si>
    <t>Дата</t>
  </si>
  <si>
    <t>ГИП</t>
  </si>
  <si>
    <t>Изменения</t>
  </si>
  <si>
    <t>Филиал           
              ОАО «Гипротрубопровод»-
             «Тюменьгипротрубопровод»</t>
  </si>
  <si>
    <t>Для вставки штампов необходимо нажать кнопку ВставитьШтампы на панели управления.</t>
  </si>
  <si>
    <t>Кнопка УдалитьШтампы используется для удаления штампов и строк под штампы.</t>
  </si>
  <si>
    <t>Границу печати (сплошная синяя линия) можно передвинуть влево до нужной колонки.</t>
  </si>
  <si>
    <t>Например, до колонок F или L.</t>
  </si>
  <si>
    <t>Затем в параметрах страницы (Файл\ Параметры страницы) на вкладке Страница</t>
  </si>
  <si>
    <t>должна появиться синяя пунктирная линия. Ее надо перетащить на границу печати (синяя сплошная линия).</t>
  </si>
  <si>
    <t>установить масштаб отбражения 130, 140 процентов. Левее границы печати</t>
  </si>
  <si>
    <t xml:space="preserve">Таким образом Excel автоматически пересчитает масштаб отображения на странице. </t>
  </si>
  <si>
    <t>После этого надо удалить и вставить штампы.</t>
  </si>
  <si>
    <t>Таблица замены номеров листов</t>
  </si>
  <si>
    <t>№ Листа</t>
  </si>
  <si>
    <t>Номер нижний</t>
  </si>
  <si>
    <t>Номер верхний</t>
  </si>
  <si>
    <t>1</t>
  </si>
  <si>
    <t>2</t>
  </si>
  <si>
    <t>3</t>
  </si>
  <si>
    <t>4</t>
  </si>
  <si>
    <t>5</t>
  </si>
  <si>
    <t>6</t>
  </si>
  <si>
    <t>7</t>
  </si>
  <si>
    <t>Основание изменения/
вид работ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</si>
  <si>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</si>
  <si>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</si>
  <si>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</si>
  <si>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</si>
  <si>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</si>
  <si>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</si>
  <si>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</si>
  <si>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</si>
  <si>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</si>
  <si>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3.1</t>
  </si>
  <si>
    <t>3.2</t>
  </si>
  <si>
    <t>3.3</t>
  </si>
  <si>
    <t>3.4</t>
  </si>
  <si>
    <t>4.1</t>
  </si>
  <si>
    <t>4.2</t>
  </si>
  <si>
    <t>4.3</t>
  </si>
  <si>
    <t>4.4</t>
  </si>
  <si>
    <t>4.5</t>
  </si>
  <si>
    <t>т</t>
  </si>
  <si>
    <t>4.6</t>
  </si>
  <si>
    <t>Ведомость объемов работ</t>
  </si>
  <si>
    <t>Филиал           
                «Тюменьгипротрубопровод»</t>
  </si>
  <si>
    <t>5.1</t>
  </si>
  <si>
    <t>5.2</t>
  </si>
  <si>
    <t>5.3</t>
  </si>
  <si>
    <t>6.1</t>
  </si>
  <si>
    <t>6.2</t>
  </si>
  <si>
    <t>6.3</t>
  </si>
  <si>
    <t>6.4</t>
  </si>
  <si>
    <t>1.8</t>
  </si>
  <si>
    <t>5.4</t>
  </si>
  <si>
    <t>5.5</t>
  </si>
  <si>
    <t>7.1</t>
  </si>
  <si>
    <t>7.2</t>
  </si>
  <si>
    <t>7.3</t>
  </si>
  <si>
    <t>7.4</t>
  </si>
  <si>
    <t>аналог Юг 0044/РД</t>
  </si>
  <si>
    <t>Раздел 1. Земляные работы</t>
  </si>
  <si>
    <t>2.3</t>
  </si>
  <si>
    <t>2.4</t>
  </si>
  <si>
    <t>2.5</t>
  </si>
  <si>
    <t>2.6</t>
  </si>
  <si>
    <t>шт./т</t>
  </si>
  <si>
    <t>3.5</t>
  </si>
  <si>
    <t>3.6</t>
  </si>
  <si>
    <t>6.6</t>
  </si>
  <si>
    <t>7.5</t>
  </si>
  <si>
    <t>задв</t>
  </si>
  <si>
    <t>фунды</t>
  </si>
  <si>
    <t>итого</t>
  </si>
  <si>
    <t>Устройство бетонной подготовки В7.5</t>
  </si>
  <si>
    <t>Обмазочная гидроизоляция холодными мастиками на основе битума в 2 слоя по подготовленной праймером поверхности</t>
  </si>
  <si>
    <t>Холоднотянутая  арматурная сталь гладкая класса А-I (А240) диаметром 8 мм</t>
  </si>
  <si>
    <t>4.7</t>
  </si>
  <si>
    <t>4.8</t>
  </si>
  <si>
    <t>3.7</t>
  </si>
  <si>
    <t>3.8</t>
  </si>
  <si>
    <t>5.6</t>
  </si>
  <si>
    <t>5.7</t>
  </si>
  <si>
    <t>5.8</t>
  </si>
  <si>
    <t>5.9</t>
  </si>
  <si>
    <t>7.6</t>
  </si>
  <si>
    <t>7.7</t>
  </si>
  <si>
    <t>7.8</t>
  </si>
  <si>
    <t>6.5</t>
  </si>
  <si>
    <t>6.7</t>
  </si>
  <si>
    <t>6.8</t>
  </si>
  <si>
    <t>6.9</t>
  </si>
  <si>
    <t>п.м.159.75</t>
  </si>
  <si>
    <t>объем конструкций находящихся в грунте</t>
  </si>
  <si>
    <t>1.9</t>
  </si>
  <si>
    <t>2.7</t>
  </si>
  <si>
    <t>2.8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</si>
  <si>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</si>
  <si>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</si>
  <si>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</si>
  <si>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</si>
  <si>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</si>
  <si>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</si>
  <si>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</si>
  <si>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</si>
  <si>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</si>
  <si>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</si>
  <si>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</si>
  <si>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</si>
  <si>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9.1</t>
  </si>
  <si>
    <t>9.2</t>
  </si>
  <si>
    <t>9.3</t>
  </si>
  <si>
    <t>9.4</t>
  </si>
  <si>
    <t>9.5</t>
  </si>
  <si>
    <t>9.6</t>
  </si>
  <si>
    <t>10.1</t>
  </si>
  <si>
    <t>10.2</t>
  </si>
  <si>
    <t>10.3</t>
  </si>
  <si>
    <t>10.6</t>
  </si>
  <si>
    <t>10.7</t>
  </si>
  <si>
    <t>10.8</t>
  </si>
  <si>
    <t>10.9</t>
  </si>
  <si>
    <t>МНПП «Уфа-Западное направление». Строительство обхода г. Пенза. 2-й этап. Строительство ЛПДС «Пенза»
 Здание магистральной насосной.
Ведомость объемов работ</t>
  </si>
  <si>
    <t>Садов</t>
  </si>
  <si>
    <t>Вейбер</t>
  </si>
  <si>
    <t>Здание магистральной насосной</t>
  </si>
  <si>
    <t>Доработка грунта вручную в котловане без креплений откосов, группа грунтов 1  (грунт γ=1,65 т/м3)</t>
  </si>
  <si>
    <t>Погрузка грунта экскаватором с объемом ковша 0,65 м3 в  автосамосвалы г.п. 15 т и вывоз избытков грунта согласно транспортной схемы, группа грунтов 1</t>
  </si>
  <si>
    <t>Доставка из карьера, автосамосвалами г/п 15 т,  непучинистого песка для обратной засыпки, согласно транспортной схемы, группа грунтов 1</t>
  </si>
  <si>
    <t>С учетом коэффициента 
на уплотнение 10% и 
коэффициента на потери 
при транспортировке 1%</t>
  </si>
  <si>
    <t>Засыпка котлованов бульдозером мощностью 96 кВт, группа грунтов 1 (непучинистый песок)</t>
  </si>
  <si>
    <t>Уплотнение грунта пневмотрамбовками послойно по 200 мм до достижения плотности грунта 1,65 т/м3 (в обезвоженном состоянии)</t>
  </si>
  <si>
    <t>Свайное поле</t>
  </si>
  <si>
    <t>шт.</t>
  </si>
  <si>
    <t>Вырубка бетона из арматурного каркаса железобетонных свай площадью сечения до 0,1 м2</t>
  </si>
  <si>
    <t>Устройство подготовки из бетона В7.5 толщиной 100 мм</t>
  </si>
  <si>
    <t xml:space="preserve"> B D E F K L M N</t>
  </si>
  <si>
    <t>Гидроизоляция боковая обмазочная холодной битумной мастикой за 2 раза по обработанной битумным праймером поверхности</t>
  </si>
  <si>
    <t>Установка фундаментных болтов 2.1 М42х1000 09Г2С-6</t>
  </si>
  <si>
    <t>4 / 0,077</t>
  </si>
  <si>
    <t>Раздел 3. Ростверки РС-2 - 4 шт.
Расход дан на 1 шт.</t>
  </si>
  <si>
    <t>Раздел 2. Ростверки РС-1 - 4 шт., РС-5 - 2 шт., РС-6 - 1 шт
Расход дан на 1 шт.</t>
  </si>
  <si>
    <t>Раздел 4. Ростверки РС-1С- 4 шт
Расход дан на 1 шт.</t>
  </si>
  <si>
    <r>
      <t>Устройство подливки из бетона В30 F</t>
    </r>
    <r>
      <rPr>
        <vertAlign val="subscript"/>
        <sz val="12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>200 на мелком заполнителе толщиной 100 мм</t>
    </r>
  </si>
  <si>
    <t>Установка закладной детали МН1 (шв. 12У, пластина - 8)</t>
  </si>
  <si>
    <t>4.9</t>
  </si>
  <si>
    <t>0,0147</t>
  </si>
  <si>
    <t>Раздел 5. Ростверки РС-1.1С- 2 шт
Расход дан на 1 шт.</t>
  </si>
  <si>
    <t>Раздел 6. Ростверки РС-3- 2 шт
Расход дан на 1 шт.</t>
  </si>
  <si>
    <t>8/ 0,154</t>
  </si>
  <si>
    <t>Раздел 7. Ростверки РС-4- 1 шт
Расход дан на 1 шт.</t>
  </si>
  <si>
    <t>шт/т</t>
  </si>
  <si>
    <t>Гидроизоляция боковая обмазочная горячим битумом за 2 раза по обработанной битумным праймером поверхности</t>
  </si>
  <si>
    <t>Устройство деформационного шва между полом и фундаментом толщиной 30 мм с применением резиновых прокладок 
ПРП-40.К40.400 на высоту 40 мм</t>
  </si>
  <si>
    <t>м</t>
  </si>
  <si>
    <t>Устройство деформационного шва между полом и фундаментом толщиной 30 мм с применением резиновых герметика У-30М на высоту 260 мм</t>
  </si>
  <si>
    <t>Установка закладной детали МН1 (МН111-3 по серии 1.400-15 вып. 1)</t>
  </si>
  <si>
    <t>4/0,006</t>
  </si>
  <si>
    <t>4/0,003</t>
  </si>
  <si>
    <t>8.13</t>
  </si>
  <si>
    <t>Раздел 9. Фундаментная балка ФБ1  . Расход дан на все балки.</t>
  </si>
  <si>
    <t xml:space="preserve">Горячекатаная арматурная сталь периодического профиля класса А-III диаметром 12 мм </t>
  </si>
  <si>
    <t>Раздел 10. Устройство монолитного цоколя</t>
  </si>
  <si>
    <t>Окраска металлоконструкций антикоррозионным покрытием АКП С3 (II) в соответствии с ОТТ-25.220.01-КТН-097-16.
- очистка, степень очистки Sa 2.5 (ГОСТ Р ИСО 8501-1-2014);
- обеспыливание, класс обеспыливания поверхности 2 (ИСО 8502-3);
- обезжиривание, степень обезжиривания 1 (ГОСТ 9.402-2004)</t>
  </si>
  <si>
    <t>Устройство вкладышей из пенополистирола толщиной 20мм между колонной и монолитным цоколем</t>
  </si>
  <si>
    <t>-</t>
  </si>
  <si>
    <t>Гасанов</t>
  </si>
  <si>
    <t>8.7.1</t>
  </si>
  <si>
    <t>Раздел 11. Устройство фундаментов ФО2 - 8 шт. 
Расход дан на 1 шт.</t>
  </si>
  <si>
    <t>11.1</t>
  </si>
  <si>
    <t>150 / 81,00</t>
  </si>
  <si>
    <t>1.20</t>
  </si>
  <si>
    <t>16/2,455</t>
  </si>
  <si>
    <t>86/3,328</t>
  </si>
  <si>
    <t>1.21</t>
  </si>
  <si>
    <t>1.22</t>
  </si>
  <si>
    <t>Вырубка бетона из арматурного каркаса железобетонных свай площадью сечения до 0,1 м2, объемом (0,3*0,3*0,43*86)</t>
  </si>
  <si>
    <t>Вырубка бетона из арматурного каркаса железобетонных свай площадью сечения до 0,1 м2, объемом  (0,3*0,3*0,48*48)</t>
  </si>
  <si>
    <t>Вырубка бетона из арматурного каркаса железобетонных свай площадью сечения до 0,1 м2, объемом (0,3*0,3*1,705*16)</t>
  </si>
  <si>
    <t>48/2,074</t>
  </si>
  <si>
    <t>м.п./т</t>
  </si>
  <si>
    <t>0,9/0,012</t>
  </si>
  <si>
    <t>0,45/0,006</t>
  </si>
  <si>
    <t>Раздел 12. Устройство фундаментов под опору трубопровода ФО-3 - 8 шт. Расход дан на 1 шт.</t>
  </si>
  <si>
    <t>12.1</t>
  </si>
  <si>
    <t>12.2</t>
  </si>
  <si>
    <t>12.3</t>
  </si>
  <si>
    <t>12.4</t>
  </si>
  <si>
    <t>12.5</t>
  </si>
  <si>
    <t>Раздел 13. Устройство фундаментов под опору трубопровода ФО-4 - 7 шт. Расход дан на 1 шт.</t>
  </si>
  <si>
    <t>13.1</t>
  </si>
  <si>
    <t>13.2</t>
  </si>
  <si>
    <t>13.3</t>
  </si>
  <si>
    <t>13.4</t>
  </si>
  <si>
    <t>13.5</t>
  </si>
  <si>
    <t>Монтаж закладной детали МН131-2 L=0,55м.п, сталь С245-4</t>
  </si>
  <si>
    <t>Монтаж закладной детали МН131-2 L=0,90м.п, сталь С245-4</t>
  </si>
  <si>
    <r>
      <t>Обетонирование рамы агрегата на высоту рамы после установки и выверки бетоном B30 F</t>
    </r>
    <r>
      <rPr>
        <sz val="8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>50 мелкозернистый</t>
    </r>
  </si>
  <si>
    <r>
      <t>Устройство монолитного железобетонного плитного ростверка под оборудование из бетона В25 F</t>
    </r>
    <r>
      <rPr>
        <sz val="8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 xml:space="preserve">200 W6 </t>
    </r>
  </si>
  <si>
    <r>
      <t>Устройство железобетонных фундаментов из бетона В25 F</t>
    </r>
    <r>
      <rPr>
        <sz val="8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 xml:space="preserve">150 W6 </t>
    </r>
  </si>
  <si>
    <t>Устройство монолитного фундамента, бетон В25 F200 W6</t>
  </si>
  <si>
    <r>
      <t xml:space="preserve">Погружение дизель-молотом железобетонных свай </t>
    </r>
    <r>
      <rPr>
        <strike/>
        <sz val="12"/>
        <rFont val="Times New Roman"/>
        <family val="1"/>
        <charset val="204"/>
      </rPr>
      <t xml:space="preserve">С120.30-8 </t>
    </r>
    <r>
      <rPr>
        <sz val="12"/>
        <rFont val="Times New Roman"/>
        <family val="1"/>
        <charset val="204"/>
      </rPr>
      <t>С60.30-8 (В25 F</t>
    </r>
    <r>
      <rPr>
        <vertAlign val="subscript"/>
        <sz val="12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 xml:space="preserve">150 W6) длиной </t>
    </r>
    <r>
      <rPr>
        <strike/>
        <sz val="12"/>
        <rFont val="Times New Roman"/>
        <family val="1"/>
        <charset val="204"/>
      </rPr>
      <t>6 12</t>
    </r>
    <r>
      <rPr>
        <sz val="12"/>
        <rFont val="Times New Roman"/>
        <family val="1"/>
        <charset val="204"/>
      </rPr>
      <t xml:space="preserve"> 6 м в грунты группы 1 (Изм.3)
0 - 0,8 м - ИГЭ 0;
0,8 - 1,8 м - ИГЭ С2;
1,8 - 3,6 м - ИГЭ 16;
3,6 - 7,3 м - ИГЭ 18а;
</t>
    </r>
    <r>
      <rPr>
        <strike/>
        <sz val="12"/>
        <rFont val="Times New Roman"/>
        <family val="1"/>
        <charset val="204"/>
      </rPr>
      <t>7,3 - 10,3 м - ИГЭ 3а;
10,3 - 13,1 м - ИГЭ 18а</t>
    </r>
  </si>
  <si>
    <t>28/0,039</t>
  </si>
  <si>
    <t>0,000/0,000</t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</si>
  <si>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 xml:space="preserve">А-I </t>
    </r>
    <r>
      <rPr>
        <sz val="12"/>
        <rFont val="Times New Roman"/>
        <family val="1"/>
        <charset val="204"/>
      </rPr>
      <t xml:space="preserve"> А240 (Изм.4) диаметром 8 мм </t>
    </r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</si>
  <si>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>А-II (Ас300)</t>
    </r>
    <r>
      <rPr>
        <sz val="12"/>
        <rFont val="Times New Roman"/>
        <family val="1"/>
        <charset val="204"/>
      </rPr>
      <t xml:space="preserve"> А500 (Изм.4) диаметром 12 мм (стержнями)</t>
    </r>
  </si>
  <si>
    <r>
      <t xml:space="preserve">Горячекатаная арматурная сталь периодического профиля класса  </t>
    </r>
    <r>
      <rPr>
        <strike/>
        <sz val="12"/>
        <rFont val="Times New Roman"/>
        <family val="1"/>
        <charset val="204"/>
      </rPr>
      <t xml:space="preserve">А-II (Ас300) </t>
    </r>
    <r>
      <rPr>
        <sz val="12"/>
        <rFont val="Times New Roman"/>
        <family val="1"/>
        <charset val="204"/>
      </rPr>
      <t>А500 (Изм.4) диаметром 16 мм (стержнями)</t>
    </r>
  </si>
  <si>
    <r>
      <t>Установка деформационных марок (круг 40, арм. 32</t>
    </r>
    <r>
      <rPr>
        <strike/>
        <sz val="12"/>
        <rFont val="Times New Roman"/>
        <family val="1"/>
        <charset val="204"/>
      </rPr>
      <t>АI</t>
    </r>
    <r>
      <rPr>
        <sz val="12"/>
        <rFont val="Times New Roman"/>
        <family val="1"/>
        <charset val="204"/>
      </rPr>
      <t xml:space="preserve"> А240) (Изм.4)</t>
    </r>
  </si>
  <si>
    <r>
      <t xml:space="preserve">Монтаж крепежных элементов (сталь </t>
    </r>
    <r>
      <rPr>
        <strike/>
        <sz val="12"/>
        <rFont val="Times New Roman"/>
        <family val="1"/>
        <charset val="204"/>
      </rPr>
      <t>С345-1</t>
    </r>
    <r>
      <rPr>
        <sz val="12"/>
        <rFont val="Times New Roman"/>
        <family val="1"/>
        <charset val="204"/>
      </rPr>
      <t xml:space="preserve"> С245-4) (Изм.4)</t>
    </r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</si>
  <si>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 xml:space="preserve">А-III </t>
    </r>
    <r>
      <rPr>
        <sz val="12"/>
        <rFont val="Times New Roman"/>
        <family val="1"/>
        <charset val="204"/>
      </rPr>
      <t xml:space="preserve"> А500 диаметром 8 мм (стержни), сталь 25Г2С (Изм.4) </t>
    </r>
  </si>
  <si>
    <r>
      <t xml:space="preserve">Монтаж металлической рамы Рм1 из уголка 50х50х5 
(сталь </t>
    </r>
    <r>
      <rPr>
        <strike/>
        <sz val="12"/>
        <rFont val="Times New Roman"/>
        <family val="1"/>
        <charset val="204"/>
      </rPr>
      <t>С235</t>
    </r>
    <r>
      <rPr>
        <sz val="12"/>
        <rFont val="Times New Roman"/>
        <family val="1"/>
        <charset val="204"/>
      </rPr>
      <t xml:space="preserve"> С245-4) (Изм.4) </t>
    </r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</si>
  <si>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 xml:space="preserve">А-III </t>
    </r>
    <r>
      <rPr>
        <sz val="12"/>
        <rFont val="Times New Roman"/>
        <family val="1"/>
        <charset val="204"/>
      </rPr>
      <t>А500 диаметром 14 мм (сетками) (Изм.4)</t>
    </r>
  </si>
  <si>
    <r>
      <t>Устройство монолитного железобетонного ростверка под колонны из бетона В25 F</t>
    </r>
    <r>
      <rPr>
        <vertAlign val="subscript"/>
        <sz val="12"/>
        <rFont val="Times New Roman"/>
        <family val="1"/>
        <charset val="204"/>
      </rPr>
      <t>1</t>
    </r>
    <r>
      <rPr>
        <strike/>
        <sz val="12"/>
        <rFont val="Times New Roman"/>
        <family val="1"/>
        <charset val="204"/>
      </rPr>
      <t>150</t>
    </r>
    <r>
      <rPr>
        <sz val="12"/>
        <rFont val="Times New Roman"/>
        <family val="1"/>
        <charset val="204"/>
      </rPr>
      <t xml:space="preserve"> 200 W6 (Изм.4) объемом до 5м3</t>
    </r>
  </si>
  <si>
    <r>
      <t>Устройство монолитного железобетонного ростверка под колонны из бетона В25 F</t>
    </r>
    <r>
      <rPr>
        <vertAlign val="subscript"/>
        <sz val="12"/>
        <rFont val="Times New Roman"/>
        <family val="1"/>
        <charset val="204"/>
      </rPr>
      <t>1</t>
    </r>
    <r>
      <rPr>
        <strike/>
        <sz val="12"/>
        <rFont val="Times New Roman"/>
        <family val="1"/>
        <charset val="204"/>
      </rPr>
      <t>150</t>
    </r>
    <r>
      <rPr>
        <sz val="12"/>
        <rFont val="Times New Roman"/>
        <family val="1"/>
        <charset val="204"/>
      </rPr>
      <t xml:space="preserve"> 200 W6 (Изм.4) объемом до 3м3</t>
    </r>
  </si>
  <si>
    <r>
      <t xml:space="preserve">Горячекатаная арматурная сталь периодического профиля класса
</t>
    </r>
    <r>
      <rPr>
        <strike/>
        <sz val="12"/>
        <rFont val="Times New Roman"/>
        <family val="1"/>
        <charset val="204"/>
      </rPr>
      <t>А-III</t>
    </r>
    <r>
      <rPr>
        <sz val="12"/>
        <rFont val="Times New Roman"/>
        <family val="1"/>
        <charset val="204"/>
      </rPr>
      <t xml:space="preserve"> А500 диаметром 14 мм (сетками) (Изм.4)</t>
    </r>
  </si>
  <si>
    <r>
      <t>Монтаж крепежных элементов (сталь</t>
    </r>
    <r>
      <rPr>
        <strike/>
        <sz val="12"/>
        <rFont val="Times New Roman"/>
        <family val="1"/>
        <charset val="204"/>
      </rPr>
      <t xml:space="preserve"> С345-1</t>
    </r>
    <r>
      <rPr>
        <sz val="12"/>
        <rFont val="Times New Roman"/>
        <family val="1"/>
        <charset val="204"/>
      </rPr>
      <t xml:space="preserve"> С245-4) (Изм.4)</t>
    </r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</si>
  <si>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>А-III</t>
    </r>
    <r>
      <rPr>
        <sz val="12"/>
        <rFont val="Times New Roman"/>
        <family val="1"/>
        <charset val="204"/>
      </rPr>
      <t xml:space="preserve"> А500 диаметром 14 мм (сетками) (Изм.4)</t>
    </r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</si>
  <si>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 xml:space="preserve">А-III </t>
    </r>
    <r>
      <rPr>
        <sz val="12"/>
        <rFont val="Times New Roman"/>
        <family val="1"/>
        <charset val="204"/>
      </rPr>
      <t xml:space="preserve"> А500 диаметром 14 мм (сетками) (Изм.4)</t>
    </r>
  </si>
  <si>
    <t>14.1</t>
  </si>
  <si>
    <t>14.2</t>
  </si>
  <si>
    <t>14.3</t>
  </si>
  <si>
    <t>14.4</t>
  </si>
  <si>
    <t>14.5</t>
  </si>
  <si>
    <t xml:space="preserve">Горячекатаная арматурная сталь периодического профиля класса А-III (А500) стержнями  диаметром 12 мм </t>
  </si>
  <si>
    <t xml:space="preserve">Горячекатаная арматурная сталь периодического профиля класса А240 стержнями диаметром 8 мм </t>
  </si>
  <si>
    <t>Раздел 14. Устройство фундаментов под распашные ворота Ф1 - 6 шт. Расход дан на 1 шт.</t>
  </si>
  <si>
    <t>8.11.1</t>
  </si>
  <si>
    <t>8.11.2</t>
  </si>
  <si>
    <t>8.11.3</t>
  </si>
  <si>
    <t>8.11.4</t>
  </si>
  <si>
    <t>Сверление отверстий в бетоне, диаметром 8 мм глубиной 50мм</t>
  </si>
  <si>
    <t>Установка болтов БСР 6х65</t>
  </si>
  <si>
    <t>шт./кг</t>
  </si>
  <si>
    <t>56/ 
0,784</t>
  </si>
  <si>
    <t>Окраска надземных металлоконструкций антикоррозионным покрытием АКП С3 (II) в соответствии с ОТТ-25.220.01-КТН-097-16: - очистка, степень очистки Sа 2.5 (ГОСТ Р ИСО 8501-1-2014);  - обеспыливание, класс обеспыливания поверхности 2 (ISO 8502-3); - обезжиривание, степень обезжиривания 1 (ГОСТ 9.402-2004)</t>
  </si>
  <si>
    <t>8.11.5</t>
  </si>
  <si>
    <t>0,00/0,00</t>
  </si>
  <si>
    <t>Облицовка по металлическому каркасу бетонной части фундаментов под оборудование, находящиеся выше уровня пола, облицевать алюминиевыми листами АД толщиной б= 4мм с чечевичным рифлением</t>
  </si>
  <si>
    <t>Устройство нащельников из уголка алюминиевого 40х40х2</t>
  </si>
  <si>
    <t>м.п. / т</t>
  </si>
  <si>
    <t>8.11.6</t>
  </si>
  <si>
    <t>Изм7</t>
  </si>
  <si>
    <t>12/0,016</t>
  </si>
  <si>
    <t>Монтаж металлическоно каркаса для облицовки фундамента МНА
Труба прямоугольная 40х20х2 сталь С235 -0,108т
Лист б=4мм сталь С235 - 0,017т</t>
  </si>
  <si>
    <t>Устройство подливки толщиной 50 мм из безусадочной бетонной смеси</t>
  </si>
  <si>
    <t>Раздел 15. Устройство фундаментов ФО1.1 - 1 шт. ФО1.1* - 1шт. (зеркально ). Всего 2 шт.
Расход дан на 1 шт.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</si>
  <si>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</si>
  <si>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</si>
  <si>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</si>
  <si>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</si>
  <si>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</si>
  <si>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</si>
  <si>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</si>
  <si>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</si>
  <si>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</si>
  <si>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</si>
  <si>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</si>
  <si>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</si>
  <si>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</si>
  <si>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</si>
  <si>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</si>
  <si>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</si>
  <si>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</si>
  <si>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 xml:space="preserve">Горячекатаная арматурная сталь периодического профиля класса А-500  диаметром 12 мм (сетками), сталь 25Г2С  </t>
  </si>
  <si>
    <t xml:space="preserve">Горячекатаная арматурная сталь периодического профиля класса  А500 диаметром 8 мм (стержни), сталь 25Г2С </t>
  </si>
  <si>
    <t xml:space="preserve">Монтаж металлической рамы Рм1 из уголка 50х50х5 
(С245-4) </t>
  </si>
  <si>
    <t xml:space="preserve">Монтаж металлической закладной детали ЗД1  Лист 10мм - 1.13кг С245-4, арматура d8мм А500 - 0,16кг </t>
  </si>
  <si>
    <t>Раздел 16. Дополнительные земляные работы</t>
  </si>
  <si>
    <t>16</t>
  </si>
  <si>
    <t>16.1</t>
  </si>
  <si>
    <t>16.2</t>
  </si>
  <si>
    <t>16.3</t>
  </si>
  <si>
    <t>16.4</t>
  </si>
  <si>
    <r>
      <t xml:space="preserve">Контрольные испытания свай статическими нагрузками на вдавливание (сваи </t>
    </r>
    <r>
      <rPr>
        <strike/>
        <sz val="12"/>
        <rFont val="Times New Roman"/>
        <family val="1"/>
        <charset val="204"/>
      </rPr>
      <t>1,</t>
    </r>
    <r>
      <rPr>
        <sz val="12"/>
        <rFont val="Times New Roman"/>
        <family val="1"/>
        <charset val="204"/>
      </rPr>
      <t xml:space="preserve"> 3, 29, </t>
    </r>
    <r>
      <rPr>
        <strike/>
        <sz val="12"/>
        <rFont val="Times New Roman"/>
        <family val="1"/>
        <charset val="204"/>
      </rPr>
      <t>42,</t>
    </r>
    <r>
      <rPr>
        <sz val="12"/>
        <rFont val="Times New Roman"/>
        <family val="1"/>
        <charset val="204"/>
      </rPr>
      <t xml:space="preserve"> 61, 85, 87, 134) (Изм.7)
(вдавливающая нагрузка на одну сваю составляет 60,0 т).
Тип грунтов глинистые (Изм.1)
</t>
    </r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</si>
  <si>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 xml:space="preserve">А-III </t>
    </r>
    <r>
      <rPr>
        <sz val="12"/>
        <rFont val="Times New Roman"/>
        <family val="1"/>
        <charset val="204"/>
      </rPr>
      <t xml:space="preserve">А500 диаметром </t>
    </r>
    <r>
      <rPr>
        <strike/>
        <sz val="12"/>
        <rFont val="Times New Roman"/>
        <family val="1"/>
        <charset val="204"/>
      </rPr>
      <t>16 мм</t>
    </r>
    <r>
      <rPr>
        <sz val="12"/>
        <rFont val="Times New Roman"/>
        <family val="1"/>
        <charset val="204"/>
      </rPr>
      <t xml:space="preserve"> 12мм (</t>
    </r>
    <r>
      <rPr>
        <strike/>
        <sz val="12"/>
        <rFont val="Times New Roman"/>
        <family val="1"/>
        <charset val="204"/>
      </rPr>
      <t>сетками</t>
    </r>
    <r>
      <rPr>
        <sz val="12"/>
        <rFont val="Times New Roman"/>
        <family val="1"/>
        <charset val="204"/>
      </rPr>
      <t xml:space="preserve"> стержнями) (Изм.4) (Изм.7)</t>
    </r>
  </si>
  <si>
    <r>
      <t xml:space="preserve">Горячекатаная арматурная сталь периодического профиля класса </t>
    </r>
    <r>
      <rPr>
        <strike/>
        <sz val="12"/>
        <rFont val="Times New Roman"/>
        <family val="1"/>
        <charset val="204"/>
      </rPr>
      <t>А-III</t>
    </r>
    <r>
      <rPr>
        <sz val="12"/>
        <rFont val="Times New Roman"/>
        <family val="1"/>
        <charset val="204"/>
      </rPr>
      <t xml:space="preserve"> </t>
    </r>
    <r>
      <rPr>
        <strike/>
        <sz val="12"/>
        <rFont val="Times New Roman"/>
        <family val="1"/>
        <charset val="204"/>
      </rPr>
      <t>А-240</t>
    </r>
    <r>
      <rPr>
        <sz val="12"/>
        <rFont val="Times New Roman"/>
        <family val="1"/>
        <charset val="204"/>
      </rPr>
      <t xml:space="preserve"> А-500 (Изм.7) диаметром 12 мм (сетками), сталь 25Г2С (Изм.4) </t>
    </r>
  </si>
  <si>
    <r>
      <t xml:space="preserve">Монтаж металлической закладной детали ЗД1 (сталь </t>
    </r>
    <r>
      <rPr>
        <strike/>
        <sz val="12"/>
        <rFont val="Times New Roman"/>
        <family val="1"/>
        <charset val="204"/>
      </rPr>
      <t>С245 С245-4)
лист 4 мм</t>
    </r>
    <r>
      <rPr>
        <sz val="12"/>
        <rFont val="Times New Roman"/>
        <family val="1"/>
        <charset val="204"/>
      </rPr>
      <t xml:space="preserve"> (Изм.4) Лист 10мм - 1.13кг С245-4, арматура d8мм А500 - 0,16кг (Изм.7)</t>
    </r>
  </si>
  <si>
    <r>
      <t xml:space="preserve">Установка закладного изделия Зд1 </t>
    </r>
    <r>
      <rPr>
        <strike/>
        <sz val="12"/>
        <rFont val="Times New Roman"/>
        <family val="1"/>
        <charset val="204"/>
      </rPr>
      <t xml:space="preserve">(МН112-6 по серии 1.400-15 вып. 1) весом 2,8 кг </t>
    </r>
    <r>
      <rPr>
        <sz val="12"/>
        <rFont val="Times New Roman"/>
        <family val="1"/>
        <charset val="204"/>
      </rPr>
      <t>(МН111-3  по серии 1.400-15 вып. 1) весом 1,4 кг Изм.7</t>
    </r>
  </si>
  <si>
    <t>Гидроизоляция боковая обмазочная холодной битумной мастикой за 2 раза по обработанной битумным праймером поверхности (учтено с отм.-0.500 до отм. -0.050 наружная грань цоколя по периметру Изм.7)</t>
  </si>
  <si>
    <r>
      <t>Устройство монолитного фундамента, бетон В25 F</t>
    </r>
    <r>
      <rPr>
        <sz val="8"/>
        <rFont val="Times New Roman"/>
        <family val="1"/>
        <charset val="204"/>
      </rPr>
      <t>1</t>
    </r>
    <r>
      <rPr>
        <sz val="12"/>
        <rFont val="Times New Roman"/>
        <family val="1"/>
        <charset val="204"/>
      </rPr>
      <t>200 W6</t>
    </r>
  </si>
  <si>
    <t>Кокшаров</t>
  </si>
  <si>
    <t>ОПОС</t>
  </si>
  <si>
    <t>Довгарь</t>
  </si>
  <si>
    <t>С учетом коэффициента 
на уплотнение 10% и 
коэффициента на потери 
при транспортировке 1% (подрядчик)</t>
  </si>
  <si>
    <t>0,112</t>
  </si>
  <si>
    <r>
      <t>Монтаж металлическоно каркаса для облицовки фундамента МНА
Труба прямоугольная 40х20х2 сталь С23</t>
    </r>
    <r>
      <rPr>
        <sz val="12"/>
        <color indexed="10"/>
        <rFont val="Times New Roman"/>
        <family val="1"/>
        <charset val="204"/>
      </rPr>
      <t>5 -</t>
    </r>
    <r>
      <rPr>
        <strike/>
        <sz val="12"/>
        <color indexed="10"/>
        <rFont val="Times New Roman"/>
        <family val="1"/>
        <charset val="204"/>
      </rPr>
      <t>0,108т</t>
    </r>
    <r>
      <rPr>
        <sz val="12"/>
        <color indexed="10"/>
        <rFont val="Times New Roman"/>
        <family val="1"/>
        <charset val="204"/>
      </rPr>
      <t xml:space="preserve"> 0,110т
Лист б=4мм сталь С235 - </t>
    </r>
    <r>
      <rPr>
        <strike/>
        <sz val="12"/>
        <color indexed="10"/>
        <rFont val="Times New Roman"/>
        <family val="1"/>
        <charset val="204"/>
      </rPr>
      <t>0,017т</t>
    </r>
    <r>
      <rPr>
        <sz val="12"/>
        <color indexed="10"/>
        <rFont val="Times New Roman"/>
        <family val="1"/>
        <charset val="204"/>
      </rPr>
      <t xml:space="preserve"> 0,0017т (Изм.9)</t>
    </r>
  </si>
  <si>
    <t>34,48/
0,040</t>
  </si>
  <si>
    <t xml:space="preserve">Облицовка фундамента листом рифленым (Лист АД1.М 2х1000х2000)  </t>
  </si>
  <si>
    <t>15,99/ 
0,170</t>
  </si>
  <si>
    <r>
      <t xml:space="preserve">Раздел 8. Устройство фундаментов ФО1 - </t>
    </r>
    <r>
      <rPr>
        <b/>
        <strike/>
        <sz val="12"/>
        <rFont val="Times New Roman"/>
        <family val="1"/>
        <charset val="204"/>
      </rPr>
      <t xml:space="preserve">4 шт. 2 шт.(Изм.7) </t>
    </r>
    <r>
      <rPr>
        <b/>
        <sz val="12"/>
        <rFont val="Times New Roman"/>
        <family val="1"/>
        <charset val="204"/>
      </rPr>
      <t>; 4 шт. (Изм.9) 
Расход дан на 1 шт.</t>
    </r>
  </si>
  <si>
    <t>0,000/
0,000</t>
  </si>
  <si>
    <t>0,000/ 
0,000</t>
  </si>
  <si>
    <t>0,000</t>
  </si>
  <si>
    <t>Устройство песчаной подготовки толщиной 100 мм</t>
  </si>
  <si>
    <t>Гидроизоляция боковая: обмазочная битумная в 2 слоя 
по бетону</t>
  </si>
  <si>
    <t xml:space="preserve">шт. </t>
  </si>
  <si>
    <t>Раздел 17. Отмостка колодцев КИП - 1 шт.</t>
  </si>
  <si>
    <t>17.1</t>
  </si>
  <si>
    <t>м³</t>
  </si>
  <si>
    <t>17.2</t>
  </si>
  <si>
    <t>Устройство асфальтобетонного покрытия толщиной 30 мм</t>
  </si>
  <si>
    <t>м²</t>
  </si>
  <si>
    <t>Землянные работы</t>
  </si>
  <si>
    <t>Устройство песчаной подготовки, толщиной 100 мм</t>
  </si>
  <si>
    <t>Гидроизоляция боковая обмазочная битумная в 2 слоя по огрунтованной праймером поверхности</t>
  </si>
  <si>
    <t>Установка болтов БСР 12х110 ХЛ</t>
  </si>
  <si>
    <t>8/0,001</t>
  </si>
  <si>
    <t>Нанесение цинкового покрытия на  настилы площадок обслуживания, в заводских условиях (толщина слоя 50 мкм)</t>
  </si>
  <si>
    <t>Окраска надземных металлоконструкций антикоррозионным покрытием АКП С4 (II) в соответствии с 
ОТТ-25.220.01-КТН-097-16
- очистка, степень очистки Sа 2.5 (ГОСТ Р ИСО 8501-1-2014);
- обеспыливание, класс обеспыливания поверхности 2 
(ISO 8502-3);
- обезжиривание, степень обезжиривания 1 (ГОСТ 9.402-2004)</t>
  </si>
  <si>
    <r>
      <t xml:space="preserve">Разработка грунта экскаватором с ковшом 0,65 м3, группа грунтов 1 с погрузкой грунта на автосамосвал г.п. 15 т                        </t>
    </r>
    <r>
      <rPr>
        <strike/>
        <sz val="12"/>
        <color indexed="10"/>
        <rFont val="Times New Roman"/>
        <family val="1"/>
        <charset val="204"/>
      </rPr>
      <t>Насыпной грунт (γ=1,65 т/м3) - 0,8 м;</t>
    </r>
    <r>
      <rPr>
        <sz val="12"/>
        <color indexed="10"/>
        <rFont val="Times New Roman"/>
        <family val="1"/>
        <charset val="204"/>
      </rPr>
      <t xml:space="preserve">  (Изм.10)</t>
    </r>
    <r>
      <rPr>
        <sz val="12"/>
        <rFont val="Times New Roman"/>
        <family val="1"/>
        <charset val="204"/>
      </rPr>
      <t xml:space="preserve">
С2 - 29б  Насыпные грунты (γ=1,8 т/м3);
</t>
    </r>
  </si>
  <si>
    <t xml:space="preserve">Разработка грунта экскаватором с ковшом 0,65 м3, группа грунтов 1 с погрузкой грунта на автосамосвал г.п. 15 т                        
С2 - 29б Насыпные грунты (γ=1,8 т/м3);
</t>
  </si>
  <si>
    <t>Засыпка вручную пазух котлованов, 1 группа грунтов</t>
  </si>
  <si>
    <t>1.6.1</t>
  </si>
  <si>
    <t>Объем фундаментов</t>
  </si>
  <si>
    <t>Раздел 17. Площадки обслуживания Пл1-2шт., Пл2 -3 шт.   Фундаменты ФО-5  -5шт., ФО-6 --4шт.
Расход дан на все площадки и фундаменты</t>
  </si>
  <si>
    <t>3,92/8</t>
  </si>
  <si>
    <t>5,76/20</t>
  </si>
  <si>
    <t>Устройство площадок  По1 -2шт. Расход дан на все.</t>
  </si>
  <si>
    <t>Сверление отверстий диаметром 16 мм глубиной 90 мм</t>
  </si>
  <si>
    <t>8/2,304</t>
  </si>
  <si>
    <t>Монтаж ограждающих рамок ОР1 - 2шт. Расход дан на все.</t>
  </si>
  <si>
    <t xml:space="preserve">Монтаж ограждающих рамок ОР1:
-Уголок 75х76х6 С245-4 -0,383т.
-Круг d10 А1(А240) - 0,002т
</t>
  </si>
  <si>
    <t>Монтаж профильного листа С44-1000-0,7 окрашенного в заводских условиях RAL 9023 (серый)</t>
  </si>
  <si>
    <t>Ограждение Ог1:
-Уголок 25х25х3 сталь С245-4 - 0,012т
-Лист б=4мм сталь С245-4 - 0,035т.</t>
  </si>
  <si>
    <t>Болт М12х40</t>
  </si>
  <si>
    <t>Гайка М12</t>
  </si>
  <si>
    <t>64/3,200</t>
  </si>
  <si>
    <t>112/2,24</t>
  </si>
  <si>
    <t>128/1,28</t>
  </si>
  <si>
    <t>Решетчатый настил НР1- 16шт., НР2 - 4шт.
-Лист б=3мм сталь С245-4 - 0,321т.
-Круг d5мм сталь С245-4 - 0,058т.</t>
  </si>
  <si>
    <t>Монтаж площадок Пл1 - 2шт. Расход дан на все.</t>
  </si>
  <si>
    <t>Устройство площадок  По2 -3шт. Расход дан на все.</t>
  </si>
  <si>
    <t>Устройство добора из борюрного канмя для площадок По1, По2. Расход дан на все.</t>
  </si>
  <si>
    <t>Рез бортового камня  Бр100.30.15  (вес 100 кг) 
(В25 F1200 W6) дисковой пилой (добор)</t>
  </si>
  <si>
    <t>24/2,400</t>
  </si>
  <si>
    <t>54/5,400</t>
  </si>
  <si>
    <t>4/0,400</t>
  </si>
  <si>
    <t>12/3,456</t>
  </si>
  <si>
    <t>12/0,002</t>
  </si>
  <si>
    <t>156/7,800</t>
  </si>
  <si>
    <t>156/3,120</t>
  </si>
  <si>
    <t>248/2,480</t>
  </si>
  <si>
    <r>
      <t>Монтаж дорожной плиты.  Плита 2П18.18-30 B25F</t>
    </r>
    <r>
      <rPr>
        <sz val="8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>200W6</t>
    </r>
  </si>
  <si>
    <r>
      <t>Укладка блоков бетонных ФБС 12.4.6-Т F</t>
    </r>
    <r>
      <rPr>
        <sz val="8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>200W6</t>
    </r>
  </si>
  <si>
    <r>
      <t>Установка фундаментных блоков ФБС 12.4.6-Т  (вес 640 кг) 
(В15 F</t>
    </r>
    <r>
      <rPr>
        <vertAlign val="subscript"/>
        <sz val="12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 xml:space="preserve">200 W6)  </t>
    </r>
  </si>
  <si>
    <r>
      <t>шт./м</t>
    </r>
    <r>
      <rPr>
        <vertAlign val="superscript"/>
        <sz val="12"/>
        <color indexed="30"/>
        <rFont val="Times New Roman"/>
        <family val="1"/>
        <charset val="204"/>
      </rPr>
      <t>3</t>
    </r>
  </si>
  <si>
    <r>
      <t>Монтаж бортового камня Бр100.30.15  (вес 100 кг) 
(В25 F</t>
    </r>
    <r>
      <rPr>
        <vertAlign val="subscript"/>
        <sz val="12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 xml:space="preserve">200 W6)  </t>
    </r>
  </si>
  <si>
    <r>
      <t>Монтаж бортового камня Бр100.30.15  (вес 100 кг) 
(В15 F</t>
    </r>
    <r>
      <rPr>
        <vertAlign val="subscript"/>
        <sz val="12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 xml:space="preserve">200 W6)  </t>
    </r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</si>
  <si>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</si>
  <si>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</si>
  <si>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</si>
  <si>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</si>
  <si>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</si>
  <si>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</si>
  <si>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</si>
  <si>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</si>
  <si>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</si>
  <si>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</si>
  <si>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</si>
  <si>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</si>
  <si>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</si>
  <si>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</si>
  <si>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</si>
  <si>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</si>
  <si>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</si>
  <si>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</si>
  <si>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</si>
  <si>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</si>
  <si>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</si>
  <si>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</si>
  <si>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17.25</t>
  </si>
  <si>
    <t>17.26</t>
  </si>
  <si>
    <t>17.27</t>
  </si>
  <si>
    <t>17.28</t>
  </si>
  <si>
    <t>17.29</t>
  </si>
  <si>
    <t>17.30</t>
  </si>
  <si>
    <t>17.31</t>
  </si>
  <si>
    <t>17.32</t>
  </si>
  <si>
    <t>17.33</t>
  </si>
  <si>
    <t>17.34</t>
  </si>
  <si>
    <t>17.35</t>
  </si>
  <si>
    <t>17.36</t>
  </si>
  <si>
    <t>17.38</t>
  </si>
  <si>
    <t>17.37</t>
  </si>
  <si>
    <t>17.39</t>
  </si>
  <si>
    <t>17.40</t>
  </si>
  <si>
    <t>17.41</t>
  </si>
  <si>
    <t>17.42</t>
  </si>
  <si>
    <t>17.43</t>
  </si>
  <si>
    <t>17.44</t>
  </si>
  <si>
    <t>17.45</t>
  </si>
  <si>
    <t>17.46</t>
  </si>
  <si>
    <t>17.47</t>
  </si>
  <si>
    <t>17.48</t>
  </si>
  <si>
    <t>17.49</t>
  </si>
  <si>
    <t>17.50</t>
  </si>
  <si>
    <t>18.1</t>
  </si>
  <si>
    <t>18.2</t>
  </si>
  <si>
    <t>18.3</t>
  </si>
  <si>
    <t>Раздел 18. Устройство фундаментов ФО5 - 5 шт.
Расход дан на 1 шт.</t>
  </si>
  <si>
    <r>
      <t>Устройство монолитного железобетонного фундамента под оборудование из бетона В25 F</t>
    </r>
    <r>
      <rPr>
        <sz val="8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 xml:space="preserve">200 W6 </t>
    </r>
  </si>
  <si>
    <t>1/0,015</t>
  </si>
  <si>
    <t>Раздел 19. Устройство фундаментов ФО6 - 4 шт.
Расход дан на 1 шт.</t>
  </si>
  <si>
    <t>19.1</t>
  </si>
  <si>
    <t>19.2</t>
  </si>
  <si>
    <t>19.3</t>
  </si>
  <si>
    <t>Монтаж закладной детали Дз1:
-Горячекатаная арматурная сталь периодического профиля класса  А-500  диаметром 12 мм (стержни), сталь 25Г2С
Лист б=10мм - 15,70кг сталь С245-4</t>
  </si>
  <si>
    <t>Монтаж закладной детали Дз1:
-Горячекатаная арматурная сталь периодического профиля класса  А-500  диаметром 12 мм (стержни), сталь 25Г2С
Лист б=10мм  - 12,56кг сталь С245-4</t>
  </si>
  <si>
    <t>1/0,019</t>
  </si>
  <si>
    <t>18.4</t>
  </si>
  <si>
    <t>19.4</t>
  </si>
  <si>
    <t>.</t>
  </si>
  <si>
    <t xml:space="preserve"> B</t>
  </si>
  <si>
    <t>18</t>
  </si>
  <si>
    <t>19</t>
  </si>
  <si>
    <r>
      <rPr>
        <sz val="12"/>
        <color indexed="30"/>
        <rFont val="Times New Roman"/>
        <family val="1"/>
        <charset val="204"/>
      </rPr>
      <t xml:space="preserve">Устройство железобетонных стен и перегородок из бетона В25 </t>
    </r>
    <r>
      <rPr>
        <strike/>
        <sz val="12"/>
        <color indexed="30"/>
        <rFont val="Times New Roman"/>
        <family val="1"/>
        <charset val="204"/>
      </rPr>
      <t>F</t>
    </r>
    <r>
      <rPr>
        <strike/>
        <vertAlign val="subscript"/>
        <sz val="12"/>
        <color indexed="30"/>
        <rFont val="Times New Roman"/>
        <family val="1"/>
        <charset val="204"/>
      </rPr>
      <t>1</t>
    </r>
    <r>
      <rPr>
        <strike/>
        <sz val="12"/>
        <color indexed="30"/>
        <rFont val="Times New Roman"/>
        <family val="1"/>
        <charset val="204"/>
      </rPr>
      <t>150 W6</t>
    </r>
    <r>
      <rPr>
        <sz val="12"/>
        <color indexed="30"/>
        <rFont val="Times New Roman"/>
        <family val="1"/>
        <charset val="204"/>
      </rPr>
      <t xml:space="preserve"> F</t>
    </r>
    <r>
      <rPr>
        <sz val="8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>200 W6 (изм.10)</t>
    </r>
  </si>
  <si>
    <t>Монтаж закладной детали МН126-2, сталь С245-4</t>
  </si>
  <si>
    <t>11.2</t>
  </si>
  <si>
    <t>1/0,007</t>
  </si>
  <si>
    <t xml:space="preserve">Армирование ростверка арматурными сетками. Горячекатаная арматурная сталь периодического профиля класса А500 диаметром 12 мм </t>
  </si>
  <si>
    <t>11.3</t>
  </si>
  <si>
    <t>11.4</t>
  </si>
  <si>
    <t>11.5</t>
  </si>
  <si>
    <t>11.6</t>
  </si>
  <si>
    <t>19.5</t>
  </si>
  <si>
    <t>18.5</t>
  </si>
  <si>
    <t>11.7</t>
  </si>
  <si>
    <t>Юетонирование колодцев без усадочной бетонной смесью, класса по прочности В30</t>
  </si>
  <si>
    <t>Марка №1 (18 шт.)</t>
  </si>
  <si>
    <t>Сверление отверстий в бетоне, диаметром 40 мм, глубиной
140 мм</t>
  </si>
  <si>
    <t>Установка деформационных марок</t>
  </si>
  <si>
    <t>0,065</t>
  </si>
  <si>
    <t>Антикоррозионная защита деформационных марок</t>
  </si>
  <si>
    <t>Окраска металлоконструкций антикоррозионным покрытием АКП С3 (II) в соответствии с ОТТ-25.220.01-КТН-097-16.
- очистка, степень очистки Sa 2.5 (ГОСТ Р ИСО 8501-1-2014);
- обеспыливание, класс обеспыливания поверхности 2 
(ИСО 8502-3);
- обезжиривание, степень обезжиривания 1 (ГОСТ 9.402-2004)</t>
  </si>
  <si>
    <t>Раздел 20.  Устройство деформационных марок</t>
  </si>
  <si>
    <t>20.1</t>
  </si>
  <si>
    <t>20.2</t>
  </si>
  <si>
    <t>20.3</t>
  </si>
  <si>
    <t>Монтаж ограждающих рамок ОР2 - 3шт. Расход дан на все.</t>
  </si>
  <si>
    <t>Устройство фундаментов под задвижки Ф2 -8шт. Расход на все</t>
  </si>
  <si>
    <t>Монтаж площадок Пл2 - 3шт. Расход дан на все.</t>
  </si>
  <si>
    <t>Монтаж площадок Пл1:
-Швеллер 14У сталь С245-4 -0,394т.
-Швеллер 12У сталь С245-4 -0,172т.
-Уголок 25х25х3 сталь С245-4 -0,035т.
-Лист б=4мм сталь С245-4 - 0,01т.</t>
  </si>
  <si>
    <t>Монтаж ограждающих рамок ОР2:
-Уголок 75х76х6 С245-4 -0,383т.
-Круг d10 А1(А240) - 0,002т</t>
  </si>
  <si>
    <t>16,8/0,124</t>
  </si>
  <si>
    <t>79,020/
0,585</t>
  </si>
  <si>
    <t>Монтаж площадки Пл2:
-Швеллер 14У сталь С245-4 -1,033т.
-Швеллер 12У сталь С245-4 -0,258т.
-Уголок 25х25х3 сталь С245-4 -0,092т.
-Лист б=4мм сталь С245-4 - 0,02т.</t>
  </si>
  <si>
    <t>Решетчатый настил НР1- 42шт., НР3 - 6шт., НР4 -12шт.
-Лист б=3мм сталь С245-4 - 0,321т.
-Круг d5мм сталь С245-4 - 0,058т.
-Башмак -0,003т.</t>
  </si>
  <si>
    <r>
      <t xml:space="preserve">Устройство подстилающего слоя толщиной 100 мм из щебня марки </t>
    </r>
    <r>
      <rPr>
        <sz val="12"/>
        <color indexed="10"/>
        <rFont val="Times New Roman"/>
        <family val="1"/>
        <charset val="204"/>
      </rPr>
      <t>М600,</t>
    </r>
    <r>
      <rPr>
        <sz val="12"/>
        <color indexed="30"/>
        <rFont val="Times New Roman"/>
        <family val="1"/>
        <charset val="204"/>
      </rPr>
      <t xml:space="preserve"> фракции 40...70 мм</t>
    </r>
  </si>
  <si>
    <t>Учтена ранее в смете</t>
  </si>
  <si>
    <r>
      <t>Устройство монолитного ростверка, бетон В25 F</t>
    </r>
    <r>
      <rPr>
        <sz val="8"/>
        <color indexed="30"/>
        <rFont val="Times New Roman"/>
        <family val="1"/>
        <charset val="204"/>
      </rPr>
      <t>1</t>
    </r>
    <r>
      <rPr>
        <sz val="12"/>
        <color indexed="30"/>
        <rFont val="Times New Roman"/>
        <family val="1"/>
        <charset val="204"/>
      </rPr>
      <t>200 W6</t>
    </r>
  </si>
  <si>
    <t>Введена 
дополнительно</t>
  </si>
  <si>
    <t>2/0,06</t>
  </si>
  <si>
    <r>
      <t xml:space="preserve">Устройство подливки толщиной 50 мм из безусадочной бетонной смеси </t>
    </r>
    <r>
      <rPr>
        <strike/>
        <sz val="12"/>
        <rFont val="Times New Roman"/>
        <family val="1"/>
        <charset val="204"/>
      </rPr>
      <t>В30</t>
    </r>
    <r>
      <rPr>
        <sz val="12"/>
        <rFont val="Times New Roman"/>
        <family val="1"/>
        <charset val="204"/>
      </rPr>
      <t xml:space="preserve"> (Изм.7) </t>
    </r>
    <r>
      <rPr>
        <b/>
        <sz val="12"/>
        <color indexed="12"/>
        <rFont val="Times New Roman"/>
        <family val="1"/>
        <charset val="204"/>
      </rPr>
      <t>типа EMACO S55 или аналогичной (Изм.11)</t>
    </r>
  </si>
  <si>
    <t>0,62/1,320</t>
  </si>
  <si>
    <t>Изм.12</t>
  </si>
  <si>
    <t xml:space="preserve">Изм. </t>
  </si>
  <si>
    <t xml:space="preserve">Письмо
ООО «Транснефть-ТСД» от 26.04.2023 
№ ТСД-05-24-10-04/11261 </t>
  </si>
  <si>
    <t>10.1.1</t>
  </si>
  <si>
    <t>-/-</t>
  </si>
  <si>
    <t>Г.3.0000.20074-ТДР/ТСД/ГТП-00.003.3-КЖ.ВР.2</t>
  </si>
  <si>
    <t xml:space="preserve">МНПП «Уфа-Западное направление». Строительство обхода г. Пенза. 2-й этап. Строительство ЛПДС «Пенза»
</t>
  </si>
  <si>
    <r>
      <t>м</t>
    </r>
    <r>
      <rPr>
        <vertAlign val="superscript"/>
        <sz val="12"/>
        <rFont val="Times New Roman"/>
        <family val="1"/>
        <charset val="204"/>
      </rPr>
      <t>3</t>
    </r>
  </si>
  <si>
    <r>
      <t>шт./м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</t>
    </r>
  </si>
  <si>
    <r>
      <t>шт./м</t>
    </r>
    <r>
      <rPr>
        <vertAlign val="superscript"/>
        <sz val="12"/>
        <rFont val="Times New Roman"/>
        <family val="1"/>
        <charset val="204"/>
      </rPr>
      <t>3</t>
    </r>
  </si>
  <si>
    <r>
      <t>м</t>
    </r>
    <r>
      <rPr>
        <vertAlign val="superscript"/>
        <sz val="12"/>
        <rFont val="Times New Roman"/>
        <family val="1"/>
        <charset val="204"/>
      </rPr>
      <t>2</t>
    </r>
  </si>
  <si>
    <r>
      <t>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/т </t>
    </r>
    <r>
      <rPr>
        <sz val="12"/>
        <color indexed="30"/>
        <rFont val="Times New Roman"/>
        <family val="1"/>
        <charset val="204"/>
      </rPr>
      <t>(Изм.11)</t>
    </r>
  </si>
  <si>
    <r>
      <rPr>
        <strike/>
        <sz val="12"/>
        <rFont val="Times New Roman"/>
        <family val="1"/>
        <charset val="204"/>
      </rPr>
      <t>м3</t>
    </r>
    <r>
      <rPr>
        <sz val="12"/>
        <rFont val="Times New Roman"/>
        <family val="1"/>
        <charset val="204"/>
      </rPr>
      <t>м</t>
    </r>
    <r>
      <rPr>
        <vertAlign val="super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(Изм.4)</t>
    </r>
  </si>
  <si>
    <r>
      <t>м</t>
    </r>
    <r>
      <rPr>
        <vertAlign val="super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/ т</t>
    </r>
  </si>
  <si>
    <r>
      <t>м</t>
    </r>
    <r>
      <rPr>
        <vertAlign val="superscript"/>
        <sz val="12"/>
        <color indexed="10"/>
        <rFont val="Times New Roman"/>
        <family val="1"/>
        <charset val="204"/>
      </rPr>
      <t>3</t>
    </r>
  </si>
  <si>
    <r>
      <t>м</t>
    </r>
    <r>
      <rPr>
        <vertAlign val="super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/м</t>
    </r>
    <r>
      <rPr>
        <vertAlign val="superscript"/>
        <sz val="12"/>
        <rFont val="Times New Roman"/>
        <family val="1"/>
        <charset val="204"/>
      </rPr>
      <t>3</t>
    </r>
  </si>
  <si>
    <r>
      <t>м</t>
    </r>
    <r>
      <rPr>
        <vertAlign val="superscript"/>
        <sz val="12"/>
        <color indexed="30"/>
        <rFont val="Times New Roman"/>
        <family val="1"/>
        <charset val="204"/>
      </rPr>
      <t>3</t>
    </r>
  </si>
  <si>
    <r>
      <t>м</t>
    </r>
    <r>
      <rPr>
        <vertAlign val="superscript"/>
        <sz val="12"/>
        <color indexed="30"/>
        <rFont val="Times New Roman"/>
        <family val="1"/>
        <charset val="204"/>
      </rPr>
      <t>2</t>
    </r>
  </si>
  <si>
    <r>
      <t>шт./м</t>
    </r>
    <r>
      <rPr>
        <vertAlign val="superscript"/>
        <sz val="12"/>
        <color indexed="30"/>
        <rFont val="Times New Roman"/>
        <family val="1"/>
        <charset val="204"/>
      </rPr>
      <t>3</t>
    </r>
  </si>
  <si>
    <r>
      <t>м</t>
    </r>
    <r>
      <rPr>
        <vertAlign val="superscript"/>
        <sz val="12"/>
        <color indexed="30"/>
        <rFont val="Times New Roman"/>
        <family val="1"/>
        <charset val="204"/>
      </rPr>
      <t>3</t>
    </r>
    <r>
      <rPr>
        <sz val="12"/>
        <color indexed="30"/>
        <rFont val="Times New Roman"/>
        <family val="1"/>
        <charset val="204"/>
      </rPr>
      <t>/шт.</t>
    </r>
  </si>
  <si>
    <r>
      <t>м</t>
    </r>
    <r>
      <rPr>
        <vertAlign val="superscript"/>
        <sz val="12"/>
        <color indexed="30"/>
        <rFont val="Times New Roman"/>
        <family val="1"/>
        <charset val="204"/>
      </rPr>
      <t>2</t>
    </r>
    <r>
      <rPr>
        <sz val="12"/>
        <color indexed="30"/>
        <rFont val="Times New Roman"/>
        <family val="1"/>
        <charset val="204"/>
      </rPr>
      <t>/т</t>
    </r>
  </si>
  <si>
    <t>Письмо ООО «Транснефть-ТСД» от 04.12.2023 № ТСД-04-01-55/34442</t>
  </si>
  <si>
    <t>Изм.13</t>
  </si>
  <si>
    <t>11.12.23</t>
  </si>
  <si>
    <t>Зам</t>
  </si>
  <si>
    <t>12885-23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</si>
</sst>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3" formatCode="_-* #,##0.00_р_._-;\-* #,##0.00_р_._-;_-* &quot;-&quot;??_р_._-;_-@_-"/>
    <numFmt numFmtId="178" formatCode="0.0"/>
    <numFmt numFmtId="182" formatCode="0.000"/>
    <numFmt numFmtId="183" formatCode="0.0000"/>
    <numFmt numFmtId="200" formatCode="0.0###"/>
    <numFmt numFmtId="201" formatCode="0.00000"/>
  </numFmts>
  <fonts count="69">
    <font>
      <sz val="10"/>
      <name val="Arial Cyr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12"/>
      <name val="Arial"/>
      <family val="2"/>
      <charset val="204"/>
    </font>
    <font>
      <sz val="8"/>
      <name val="Arial Narrow"/>
      <family val="2"/>
      <charset val="204"/>
    </font>
    <font>
      <sz val="7"/>
      <name val="Arial Cyr"/>
      <charset val="204"/>
    </font>
    <font>
      <sz val="10"/>
      <color indexed="53"/>
      <name val="Arial Cyr"/>
      <charset val="204"/>
    </font>
    <font>
      <sz val="8"/>
      <color indexed="53"/>
      <name val="Arial Cyr"/>
      <charset val="204"/>
    </font>
    <font>
      <sz val="10"/>
      <name val="Courier New Cyr"/>
      <charset val="204"/>
    </font>
    <font>
      <sz val="10"/>
      <color indexed="10"/>
      <name val="Arial Cyr"/>
      <charset val="204"/>
    </font>
    <font>
      <sz val="8"/>
      <name val="Times New Roman Cyr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Helv"/>
      <charset val="204"/>
    </font>
    <font>
      <sz val="8"/>
      <color indexed="10"/>
      <name val="Arial Cyr"/>
      <charset val="204"/>
    </font>
    <font>
      <sz val="12"/>
      <name val="Arial Cyr"/>
      <charset val="204"/>
    </font>
    <font>
      <sz val="40"/>
      <name val="C39HrP24DhTt"/>
    </font>
    <font>
      <sz val="10"/>
      <name val="Arial Cyr"/>
      <charset val="204"/>
    </font>
    <font>
      <sz val="6"/>
      <name val="Times New Roman"/>
      <family val="1"/>
      <charset val="204"/>
    </font>
    <font>
      <sz val="1"/>
      <name val="Arial Cyr"/>
      <charset val="204"/>
    </font>
    <font>
      <b/>
      <sz val="11"/>
      <name val="Times New Roman"/>
      <family val="1"/>
      <charset val="204"/>
    </font>
    <font>
      <sz val="1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sz val="1"/>
      <name val="Helv"/>
      <charset val="204"/>
    </font>
    <font>
      <strike/>
      <sz val="12"/>
      <name val="Times New Roman"/>
      <family val="1"/>
      <charset val="204"/>
    </font>
    <font>
      <b/>
      <strike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trike/>
      <sz val="12"/>
      <color indexed="10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trike/>
      <sz val="12"/>
      <color indexed="10"/>
      <name val="Times New Roman"/>
      <family val="1"/>
      <charset val="204"/>
    </font>
    <font>
      <sz val="12"/>
      <color indexed="30"/>
      <name val="Times New Roman"/>
      <family val="1"/>
      <charset val="204"/>
    </font>
    <font>
      <sz val="8"/>
      <color indexed="30"/>
      <name val="Times New Roman"/>
      <family val="1"/>
      <charset val="204"/>
    </font>
    <font>
      <vertAlign val="subscript"/>
      <sz val="12"/>
      <color indexed="30"/>
      <name val="Times New Roman"/>
      <family val="1"/>
      <charset val="204"/>
    </font>
    <font>
      <vertAlign val="superscript"/>
      <sz val="12"/>
      <color indexed="30"/>
      <name val="Times New Roman"/>
      <family val="1"/>
      <charset val="204"/>
    </font>
    <font>
      <sz val="1"/>
      <color indexed="9"/>
      <name val="Times New Roman"/>
      <family val="1"/>
      <charset val="204"/>
    </font>
    <font>
      <sz val="1"/>
      <color indexed="9"/>
      <name val="Helv"/>
      <charset val="204"/>
    </font>
    <font>
      <sz val="1"/>
      <color indexed="9"/>
      <name val="Arial Cyr"/>
      <charset val="204"/>
    </font>
    <font>
      <strike/>
      <sz val="12"/>
      <color indexed="30"/>
      <name val="Times New Roman"/>
      <family val="1"/>
      <charset val="204"/>
    </font>
    <font>
      <strike/>
      <vertAlign val="subscript"/>
      <sz val="12"/>
      <color indexed="30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color indexed="30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sz val="12"/>
      <color indexed="30"/>
      <name val="Times New Roman"/>
      <family val="1"/>
      <charset val="204"/>
    </font>
    <font>
      <sz val="12"/>
      <color indexed="3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2"/>
      <color indexed="10"/>
      <name val="Times New Roman"/>
      <family val="1"/>
      <charset val="204"/>
    </font>
    <font>
      <vertAlign val="superscript"/>
      <sz val="12"/>
      <color indexed="30"/>
      <name val="Times New Roman"/>
      <family val="1"/>
      <charset val="204"/>
    </font>
    <font>
      <sz val="12"/>
      <color rgb="FFFF0000"/>
      <name val="Arial Cyr"/>
      <charset val="204"/>
    </font>
    <font>
      <sz val="12"/>
      <color rgb="FF0000FF"/>
      <name val="Arial Cyr"/>
      <charset val="204"/>
    </font>
    <font>
      <sz val="10"/>
      <color rgb="FFFF0000"/>
      <name val="Arial Cyr"/>
      <charset val="204"/>
    </font>
    <font>
      <sz val="12"/>
      <color rgb="FF0070C0"/>
      <name val="Arial Cyr"/>
      <charset val="204"/>
    </font>
    <font>
      <sz val="10"/>
      <color rgb="FF0070C0"/>
      <name val="Arial Cyr"/>
      <charset val="204"/>
    </font>
    <font>
      <sz val="12"/>
      <color rgb="FFFF000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9"/>
      <color rgb="FF0070C0"/>
      <name val="Times New Roman"/>
      <family val="1"/>
      <charset val="204"/>
    </font>
    <font>
      <sz val="8"/>
      <color rgb="FF0070C0"/>
      <name val="Times New Roman"/>
      <family val="1"/>
      <charset val="204"/>
    </font>
    <font>
      <sz val="10"/>
      <color rgb="FF0070C0"/>
      <name val="Helv"/>
      <charset val="204"/>
    </font>
    <font>
      <b/>
      <sz val="12"/>
      <color rgb="FF0000FF"/>
      <name val="Times New Roman"/>
      <family val="1"/>
      <charset val="204"/>
    </font>
    <font>
      <sz val="1"/>
      <color rgb="FFFF0000"/>
      <name val="Arial Cyr"/>
      <charset val="204"/>
    </font>
    <font>
      <sz val="12"/>
      <color rgb="FF0000FF"/>
      <name val="Times New Roman"/>
      <family val="1"/>
      <charset val="204"/>
    </font>
    <font>
      <sz val="12"/>
      <color rgb="FF7030A0"/>
      <name val="Arial Cyr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4">
    <xf numFmtId="0" fontId="0" fillId="0" borderId="0"/>
    <xf numFmtId="0" fontId="9" fillId="0" borderId="0"/>
    <xf numFmtId="0" fontId="1" fillId="0" borderId="0"/>
    <xf numFmtId="173" fontId="23" fillId="0" borderId="0" applyFont="0" applyFill="0" applyBorder="0" applyAlignment="0" applyProtection="0"/>
  </cellStyleXfs>
  <cellXfs count="780">
    <xf numFmtId="0" fontId="0" fillId="0" borderId="0" xfId="0"/>
    <xf numFmtId="0" fontId="0" fillId="0" borderId="0" xfId="0" applyBorder="1"/>
    <xf numFmtId="0" fontId="0" fillId="0" borderId="0" xfId="0" applyFill="1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7" fillId="0" borderId="0" xfId="0" applyFont="1" applyBorder="1"/>
    <xf numFmtId="0" fontId="0" fillId="0" borderId="0" xfId="0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49" fontId="3" fillId="0" borderId="0" xfId="0" applyNumberFormat="1" applyFont="1" applyBorder="1" applyAlignment="1">
      <alignment horizontal="left" vertical="center"/>
    </xf>
    <xf numFmtId="0" fontId="10" fillId="0" borderId="0" xfId="0" applyFont="1"/>
    <xf numFmtId="0" fontId="2" fillId="0" borderId="2" xfId="0" applyFont="1" applyBorder="1" applyAlignment="1">
      <alignment horizontal="left" vertical="center"/>
    </xf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1" fillId="0" borderId="1" xfId="0" applyFont="1" applyBorder="1"/>
    <xf numFmtId="0" fontId="11" fillId="0" borderId="10" xfId="0" applyFont="1" applyBorder="1"/>
    <xf numFmtId="0" fontId="4" fillId="0" borderId="0" xfId="0" applyFont="1" applyFill="1" applyBorder="1" applyAlignment="1">
      <alignment horizontal="left" vertical="center" indent="12"/>
    </xf>
    <xf numFmtId="0" fontId="4" fillId="0" borderId="0" xfId="0" applyFont="1" applyFill="1" applyBorder="1" applyAlignment="1">
      <alignment horizontal="left" vertical="center"/>
    </xf>
    <xf numFmtId="0" fontId="1" fillId="0" borderId="0" xfId="2"/>
    <xf numFmtId="0" fontId="12" fillId="0" borderId="7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/>
    </xf>
    <xf numFmtId="0" fontId="12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top"/>
    </xf>
    <xf numFmtId="49" fontId="12" fillId="0" borderId="28" xfId="0" applyNumberFormat="1" applyFont="1" applyBorder="1" applyAlignment="1">
      <alignment horizontal="left" vertical="top"/>
    </xf>
    <xf numFmtId="1" fontId="15" fillId="0" borderId="7" xfId="0" applyNumberFormat="1" applyFont="1" applyBorder="1" applyAlignment="1">
      <alignment horizontal="center" vertical="center"/>
    </xf>
    <xf numFmtId="1" fontId="15" fillId="0" borderId="6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5" fillId="0" borderId="33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17" fillId="0" borderId="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0" fontId="0" fillId="0" borderId="4" xfId="0" applyBorder="1"/>
    <xf numFmtId="0" fontId="12" fillId="0" borderId="38" xfId="0" applyFont="1" applyBorder="1"/>
    <xf numFmtId="0" fontId="8" fillId="0" borderId="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49" fontId="12" fillId="0" borderId="42" xfId="0" applyNumberFormat="1" applyFont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5" xfId="0" applyBorder="1"/>
    <xf numFmtId="0" fontId="13" fillId="0" borderId="46" xfId="0" applyFont="1" applyBorder="1" applyAlignment="1">
      <alignment horizontal="left" vertical="top" wrapText="1"/>
    </xf>
    <xf numFmtId="0" fontId="15" fillId="0" borderId="47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20" fillId="0" borderId="0" xfId="2" applyFont="1"/>
    <xf numFmtId="0" fontId="10" fillId="0" borderId="0" xfId="0" applyFont="1" applyBorder="1"/>
    <xf numFmtId="0" fontId="10" fillId="0" borderId="0" xfId="0" applyFont="1" applyFill="1" applyBorder="1"/>
    <xf numFmtId="0" fontId="10" fillId="0" borderId="0" xfId="2" applyFont="1"/>
    <xf numFmtId="0" fontId="21" fillId="0" borderId="0" xfId="0" applyFont="1" applyFill="1" applyBorder="1" applyAlignment="1" applyProtection="1">
      <alignment vertical="center" wrapText="1"/>
      <protection locked="0"/>
    </xf>
    <xf numFmtId="49" fontId="12" fillId="0" borderId="16" xfId="0" applyNumberFormat="1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9" fillId="0" borderId="3" xfId="0" applyFont="1" applyBorder="1" applyAlignment="1">
      <alignment wrapText="1"/>
    </xf>
    <xf numFmtId="0" fontId="3" fillId="0" borderId="3" xfId="2" applyFont="1" applyFill="1" applyBorder="1" applyAlignment="1">
      <alignment horizontal="center" vertical="center" wrapText="1"/>
    </xf>
    <xf numFmtId="0" fontId="19" fillId="0" borderId="3" xfId="0" applyFont="1" applyBorder="1"/>
    <xf numFmtId="49" fontId="19" fillId="0" borderId="3" xfId="0" applyNumberFormat="1" applyFont="1" applyBorder="1"/>
    <xf numFmtId="49" fontId="19" fillId="0" borderId="0" xfId="0" applyNumberFormat="1" applyFont="1"/>
    <xf numFmtId="49" fontId="24" fillId="0" borderId="5" xfId="0" applyNumberFormat="1" applyFont="1" applyBorder="1" applyAlignment="1">
      <alignment horizontal="center" vertical="center"/>
    </xf>
    <xf numFmtId="49" fontId="24" fillId="0" borderId="38" xfId="0" applyNumberFormat="1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49" fontId="24" fillId="0" borderId="20" xfId="0" applyNumberFormat="1" applyFont="1" applyBorder="1" applyAlignment="1">
      <alignment horizontal="center" vertical="center"/>
    </xf>
    <xf numFmtId="0" fontId="25" fillId="0" borderId="0" xfId="0" applyFont="1"/>
    <xf numFmtId="49" fontId="24" fillId="0" borderId="48" xfId="0" applyNumberFormat="1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0" fontId="27" fillId="0" borderId="0" xfId="0" applyFont="1" applyFill="1" applyBorder="1"/>
    <xf numFmtId="0" fontId="25" fillId="0" borderId="0" xfId="0" applyFont="1" applyBorder="1"/>
    <xf numFmtId="0" fontId="25" fillId="0" borderId="0" xfId="0" applyFont="1" applyFill="1" applyBorder="1" applyAlignment="1" applyProtection="1">
      <alignment vertical="center" wrapText="1"/>
      <protection locked="0"/>
    </xf>
    <xf numFmtId="0" fontId="18" fillId="3" borderId="5" xfId="0" applyFont="1" applyFill="1" applyBorder="1" applyAlignment="1">
      <alignment horizontal="center" vertical="center" wrapText="1"/>
    </xf>
    <xf numFmtId="0" fontId="18" fillId="3" borderId="31" xfId="0" applyNumberFormat="1" applyFont="1" applyFill="1" applyBorder="1" applyAlignment="1">
      <alignment horizontal="center" vertical="top"/>
    </xf>
    <xf numFmtId="0" fontId="18" fillId="3" borderId="31" xfId="0" applyNumberFormat="1" applyFont="1" applyFill="1" applyBorder="1" applyAlignment="1">
      <alignment horizontal="center" wrapText="1"/>
    </xf>
    <xf numFmtId="0" fontId="18" fillId="3" borderId="31" xfId="0" applyNumberFormat="1" applyFont="1" applyFill="1" applyBorder="1" applyAlignment="1">
      <alignment horizontal="center"/>
    </xf>
    <xf numFmtId="0" fontId="18" fillId="3" borderId="31" xfId="1" applyNumberFormat="1" applyFont="1" applyFill="1" applyBorder="1" applyAlignment="1" applyProtection="1">
      <alignment horizontal="center" vertical="center" wrapText="1"/>
    </xf>
    <xf numFmtId="0" fontId="18" fillId="3" borderId="31" xfId="0" applyNumberFormat="1" applyFont="1" applyFill="1" applyBorder="1" applyAlignment="1">
      <alignment horizontal="center" vertical="center" wrapText="1"/>
    </xf>
    <xf numFmtId="0" fontId="18" fillId="3" borderId="31" xfId="0" applyNumberFormat="1" applyFont="1" applyFill="1" applyBorder="1" applyAlignment="1" applyProtection="1">
      <alignment horizontal="center"/>
      <protection locked="0"/>
    </xf>
    <xf numFmtId="0" fontId="21" fillId="3" borderId="0" xfId="0" applyFont="1" applyFill="1" applyBorder="1" applyAlignment="1" applyProtection="1">
      <alignment vertical="center" wrapText="1"/>
      <protection locked="0"/>
    </xf>
    <xf numFmtId="0" fontId="16" fillId="3" borderId="5" xfId="0" applyFont="1" applyFill="1" applyBorder="1" applyAlignment="1">
      <alignment horizontal="center" vertical="center" wrapText="1"/>
    </xf>
    <xf numFmtId="0" fontId="19" fillId="3" borderId="0" xfId="0" applyFont="1" applyFill="1" applyBorder="1"/>
    <xf numFmtId="182" fontId="18" fillId="3" borderId="0" xfId="0" applyNumberFormat="1" applyFont="1" applyFill="1" applyBorder="1" applyAlignment="1">
      <alignment horizontal="center" vertical="center" wrapText="1"/>
    </xf>
    <xf numFmtId="49" fontId="19" fillId="3" borderId="16" xfId="0" applyNumberFormat="1" applyFont="1" applyFill="1" applyBorder="1" applyAlignment="1">
      <alignment horizontal="center"/>
    </xf>
    <xf numFmtId="182" fontId="21" fillId="3" borderId="0" xfId="0" applyNumberFormat="1" applyFont="1" applyFill="1" applyBorder="1" applyAlignment="1" applyProtection="1">
      <alignment vertical="center" wrapText="1"/>
      <protection locked="0"/>
    </xf>
    <xf numFmtId="49" fontId="19" fillId="3" borderId="49" xfId="0" applyNumberFormat="1" applyFont="1" applyFill="1" applyBorder="1" applyAlignment="1">
      <alignment horizontal="center"/>
    </xf>
    <xf numFmtId="49" fontId="19" fillId="3" borderId="31" xfId="0" applyNumberFormat="1" applyFont="1" applyFill="1" applyBorder="1" applyAlignment="1">
      <alignment horizontal="center"/>
    </xf>
    <xf numFmtId="0" fontId="16" fillId="3" borderId="38" xfId="0" applyFont="1" applyFill="1" applyBorder="1" applyAlignment="1">
      <alignment horizontal="center" vertical="center" wrapText="1"/>
    </xf>
    <xf numFmtId="0" fontId="0" fillId="3" borderId="0" xfId="0" applyFont="1" applyFill="1" applyBorder="1"/>
    <xf numFmtId="49" fontId="18" fillId="0" borderId="0" xfId="0" applyNumberFormat="1" applyFont="1" applyFill="1" applyBorder="1" applyAlignment="1">
      <alignment horizontal="center" vertical="center" wrapText="1"/>
    </xf>
    <xf numFmtId="49" fontId="18" fillId="0" borderId="31" xfId="0" applyNumberFormat="1" applyFont="1" applyFill="1" applyBorder="1" applyAlignment="1">
      <alignment horizontal="center" vertical="center" wrapText="1"/>
    </xf>
    <xf numFmtId="49" fontId="18" fillId="0" borderId="16" xfId="0" applyNumberFormat="1" applyFont="1" applyFill="1" applyBorder="1" applyAlignment="1">
      <alignment horizontal="center" vertical="center" wrapText="1"/>
    </xf>
    <xf numFmtId="182" fontId="18" fillId="0" borderId="16" xfId="3" applyNumberFormat="1" applyFont="1" applyFill="1" applyBorder="1" applyAlignment="1">
      <alignment horizontal="center" vertical="center"/>
    </xf>
    <xf numFmtId="49" fontId="14" fillId="0" borderId="50" xfId="0" applyNumberFormat="1" applyFont="1" applyFill="1" applyBorder="1" applyAlignment="1">
      <alignment horizontal="center" vertical="center" wrapText="1"/>
    </xf>
    <xf numFmtId="0" fontId="21" fillId="0" borderId="0" xfId="0" applyFont="1" applyBorder="1"/>
    <xf numFmtId="0" fontId="21" fillId="0" borderId="0" xfId="0" applyFont="1" applyFill="1" applyBorder="1" applyAlignment="1" applyProtection="1">
      <alignment horizontal="right" vertical="center" wrapText="1"/>
      <protection locked="0"/>
    </xf>
    <xf numFmtId="0" fontId="53" fillId="0" borderId="0" xfId="0" applyFont="1" applyFill="1" applyBorder="1" applyAlignment="1" applyProtection="1">
      <alignment vertical="center" wrapText="1"/>
      <protection locked="0"/>
    </xf>
    <xf numFmtId="49" fontId="18" fillId="0" borderId="27" xfId="0" applyNumberFormat="1" applyFont="1" applyFill="1" applyBorder="1" applyAlignment="1">
      <alignment horizontal="center"/>
    </xf>
    <xf numFmtId="182" fontId="21" fillId="0" borderId="0" xfId="0" applyNumberFormat="1" applyFont="1" applyFill="1" applyBorder="1" applyAlignment="1" applyProtection="1">
      <alignment vertical="center" wrapText="1"/>
      <protection locked="0"/>
    </xf>
    <xf numFmtId="0" fontId="21" fillId="0" borderId="0" xfId="0" applyFont="1" applyFill="1" applyBorder="1" applyAlignment="1" applyProtection="1">
      <alignment wrapText="1"/>
      <protection locked="0"/>
    </xf>
    <xf numFmtId="49" fontId="18" fillId="0" borderId="50" xfId="0" applyNumberFormat="1" applyFont="1" applyFill="1" applyBorder="1" applyAlignment="1">
      <alignment horizontal="left" vertical="center"/>
    </xf>
    <xf numFmtId="182" fontId="21" fillId="0" borderId="0" xfId="0" applyNumberFormat="1" applyFont="1" applyBorder="1"/>
    <xf numFmtId="182" fontId="21" fillId="0" borderId="0" xfId="0" applyNumberFormat="1" applyFont="1" applyFill="1" applyBorder="1" applyAlignment="1" applyProtection="1">
      <alignment horizontal="left" vertical="center" wrapText="1"/>
      <protection locked="0"/>
    </xf>
    <xf numFmtId="182" fontId="18" fillId="0" borderId="49" xfId="0" applyNumberFormat="1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182" fontId="21" fillId="4" borderId="0" xfId="0" applyNumberFormat="1" applyFont="1" applyFill="1" applyBorder="1" applyAlignment="1" applyProtection="1">
      <alignment horizontal="left" vertical="center" wrapText="1"/>
      <protection locked="0"/>
    </xf>
    <xf numFmtId="0" fontId="21" fillId="4" borderId="0" xfId="0" applyFont="1" applyFill="1" applyBorder="1" applyAlignment="1" applyProtection="1">
      <alignment vertical="center" wrapText="1"/>
      <protection locked="0"/>
    </xf>
    <xf numFmtId="0" fontId="0" fillId="4" borderId="0" xfId="0" applyFill="1"/>
    <xf numFmtId="49" fontId="18" fillId="0" borderId="49" xfId="0" applyNumberFormat="1" applyFont="1" applyFill="1" applyBorder="1" applyAlignment="1">
      <alignment horizontal="center" vertical="center" wrapText="1"/>
    </xf>
    <xf numFmtId="49" fontId="18" fillId="0" borderId="49" xfId="0" applyNumberFormat="1" applyFont="1" applyFill="1" applyBorder="1" applyAlignment="1">
      <alignment horizontal="center"/>
    </xf>
    <xf numFmtId="0" fontId="18" fillId="0" borderId="36" xfId="0" applyFont="1" applyFill="1" applyBorder="1" applyAlignment="1">
      <alignment horizontal="center" vertical="center" wrapText="1"/>
    </xf>
    <xf numFmtId="49" fontId="19" fillId="0" borderId="16" xfId="0" applyNumberFormat="1" applyFont="1" applyFill="1" applyBorder="1" applyAlignment="1">
      <alignment horizontal="center"/>
    </xf>
    <xf numFmtId="182" fontId="18" fillId="0" borderId="31" xfId="3" applyNumberFormat="1" applyFont="1" applyFill="1" applyBorder="1" applyAlignment="1">
      <alignment horizontal="center" vertical="center"/>
    </xf>
    <xf numFmtId="49" fontId="19" fillId="0" borderId="31" xfId="0" applyNumberFormat="1" applyFont="1" applyFill="1" applyBorder="1" applyAlignment="1">
      <alignment horizontal="center"/>
    </xf>
    <xf numFmtId="49" fontId="19" fillId="0" borderId="49" xfId="0" applyNumberFormat="1" applyFont="1" applyFill="1" applyBorder="1" applyAlignment="1">
      <alignment horizontal="center"/>
    </xf>
    <xf numFmtId="183" fontId="21" fillId="0" borderId="0" xfId="0" applyNumberFormat="1" applyFont="1" applyFill="1" applyBorder="1" applyAlignment="1" applyProtection="1">
      <alignment vertical="center" wrapText="1"/>
      <protection locked="0"/>
    </xf>
    <xf numFmtId="49" fontId="19" fillId="0" borderId="36" xfId="0" applyNumberFormat="1" applyFont="1" applyFill="1" applyBorder="1" applyAlignment="1">
      <alignment horizontal="center"/>
    </xf>
    <xf numFmtId="0" fontId="29" fillId="0" borderId="0" xfId="0" applyFont="1" applyFill="1" applyBorder="1"/>
    <xf numFmtId="49" fontId="18" fillId="0" borderId="16" xfId="0" applyNumberFormat="1" applyFont="1" applyFill="1" applyBorder="1" applyAlignment="1">
      <alignment horizontal="center"/>
    </xf>
    <xf numFmtId="0" fontId="21" fillId="0" borderId="0" xfId="0" applyFont="1" applyFill="1" applyBorder="1" applyAlignment="1" applyProtection="1">
      <alignment horizontal="left" vertical="center" wrapText="1"/>
      <protection locked="0"/>
    </xf>
    <xf numFmtId="0" fontId="21" fillId="4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0" fillId="4" borderId="0" xfId="0" applyFill="1" applyBorder="1"/>
    <xf numFmtId="182" fontId="21" fillId="4" borderId="0" xfId="0" applyNumberFormat="1" applyFont="1" applyFill="1" applyBorder="1" applyAlignment="1" applyProtection="1">
      <alignment horizontal="center" vertical="center" wrapText="1"/>
      <protection locked="0"/>
    </xf>
    <xf numFmtId="182" fontId="54" fillId="4" borderId="0" xfId="0" applyNumberFormat="1" applyFont="1" applyFill="1" applyBorder="1" applyAlignment="1" applyProtection="1">
      <alignment horizontal="center" vertical="center" wrapText="1"/>
      <protection locked="0"/>
    </xf>
    <xf numFmtId="178" fontId="18" fillId="0" borderId="16" xfId="0" applyNumberFormat="1" applyFont="1" applyFill="1" applyBorder="1" applyAlignment="1" applyProtection="1">
      <alignment horizontal="center" vertical="center"/>
      <protection locked="0"/>
    </xf>
    <xf numFmtId="178" fontId="18" fillId="0" borderId="49" xfId="0" applyNumberFormat="1" applyFont="1" applyFill="1" applyBorder="1" applyAlignment="1" applyProtection="1">
      <alignment horizontal="center" vertical="center"/>
      <protection locked="0"/>
    </xf>
    <xf numFmtId="49" fontId="18" fillId="0" borderId="5" xfId="0" applyNumberFormat="1" applyFont="1" applyFill="1" applyBorder="1" applyAlignment="1">
      <alignment horizontal="center"/>
    </xf>
    <xf numFmtId="49" fontId="18" fillId="0" borderId="38" xfId="0" applyNumberFormat="1" applyFont="1" applyFill="1" applyBorder="1" applyAlignment="1">
      <alignment horizontal="center"/>
    </xf>
    <xf numFmtId="182" fontId="18" fillId="0" borderId="38" xfId="3" applyNumberFormat="1" applyFont="1" applyFill="1" applyBorder="1" applyAlignment="1">
      <alignment horizontal="center" vertical="center"/>
    </xf>
    <xf numFmtId="2" fontId="18" fillId="0" borderId="38" xfId="0" applyNumberFormat="1" applyFont="1" applyFill="1" applyBorder="1" applyProtection="1">
      <protection locked="0"/>
    </xf>
    <xf numFmtId="0" fontId="18" fillId="0" borderId="38" xfId="0" applyFont="1" applyFill="1" applyBorder="1" applyAlignment="1">
      <alignment horizontal="center" vertical="center" wrapText="1"/>
    </xf>
    <xf numFmtId="182" fontId="54" fillId="0" borderId="0" xfId="0" applyNumberFormat="1" applyFont="1" applyFill="1" applyBorder="1" applyAlignment="1" applyProtection="1">
      <alignment vertical="center" wrapText="1"/>
      <protection locked="0"/>
    </xf>
    <xf numFmtId="201" fontId="54" fillId="0" borderId="0" xfId="0" applyNumberFormat="1" applyFont="1" applyFill="1" applyBorder="1" applyAlignment="1" applyProtection="1">
      <alignment vertical="center" wrapText="1"/>
      <protection locked="0"/>
    </xf>
    <xf numFmtId="201" fontId="54" fillId="0" borderId="0" xfId="0" applyNumberFormat="1" applyFont="1" applyFill="1" applyBorder="1" applyAlignment="1" applyProtection="1">
      <alignment horizontal="left" vertical="center" wrapText="1"/>
      <protection locked="0"/>
    </xf>
    <xf numFmtId="182" fontId="54" fillId="0" borderId="0" xfId="0" applyNumberFormat="1" applyFont="1" applyFill="1" applyBorder="1" applyAlignment="1" applyProtection="1">
      <alignment horizontal="left" vertical="center" wrapText="1"/>
      <protection locked="0"/>
    </xf>
    <xf numFmtId="0" fontId="54" fillId="0" borderId="0" xfId="0" applyFont="1" applyFill="1" applyBorder="1" applyAlignment="1" applyProtection="1">
      <alignment vertical="center" wrapText="1"/>
      <protection locked="0"/>
    </xf>
    <xf numFmtId="49" fontId="12" fillId="0" borderId="50" xfId="0" applyNumberFormat="1" applyFont="1" applyFill="1" applyBorder="1" applyAlignment="1">
      <alignment horizontal="center" vertical="center" wrapText="1"/>
    </xf>
    <xf numFmtId="49" fontId="18" fillId="0" borderId="49" xfId="0" applyNumberFormat="1" applyFont="1" applyFill="1" applyBorder="1" applyAlignment="1">
      <alignment horizontal="center" vertical="center"/>
    </xf>
    <xf numFmtId="49" fontId="18" fillId="0" borderId="31" xfId="0" applyNumberFormat="1" applyFont="1" applyFill="1" applyBorder="1" applyAlignment="1">
      <alignment horizontal="center" vertical="center"/>
    </xf>
    <xf numFmtId="49" fontId="18" fillId="0" borderId="38" xfId="0" applyNumberFormat="1" applyFont="1" applyFill="1" applyBorder="1" applyAlignment="1">
      <alignment horizontal="center" vertical="center" wrapText="1"/>
    </xf>
    <xf numFmtId="49" fontId="18" fillId="0" borderId="36" xfId="0" applyNumberFormat="1" applyFont="1" applyFill="1" applyBorder="1" applyAlignment="1">
      <alignment horizontal="center" vertical="center" wrapText="1"/>
    </xf>
    <xf numFmtId="49" fontId="18" fillId="0" borderId="35" xfId="0" applyNumberFormat="1" applyFont="1" applyFill="1" applyBorder="1" applyAlignment="1">
      <alignment horizontal="center" vertical="center" wrapText="1"/>
    </xf>
    <xf numFmtId="0" fontId="25" fillId="4" borderId="0" xfId="0" applyFont="1" applyFill="1"/>
    <xf numFmtId="182" fontId="18" fillId="0" borderId="26" xfId="3" applyNumberFormat="1" applyFont="1" applyFill="1" applyBorder="1" applyAlignment="1">
      <alignment horizontal="center" vertical="center"/>
    </xf>
    <xf numFmtId="49" fontId="18" fillId="0" borderId="16" xfId="0" applyNumberFormat="1" applyFont="1" applyFill="1" applyBorder="1" applyAlignment="1">
      <alignment horizontal="right" vertical="top"/>
    </xf>
    <xf numFmtId="49" fontId="18" fillId="0" borderId="16" xfId="0" applyNumberFormat="1" applyFont="1" applyFill="1" applyBorder="1" applyAlignment="1">
      <alignment horizontal="left" vertical="top" wrapText="1"/>
    </xf>
    <xf numFmtId="49" fontId="18" fillId="0" borderId="16" xfId="0" applyNumberFormat="1" applyFont="1" applyFill="1" applyBorder="1" applyAlignment="1">
      <alignment horizontal="center" wrapText="1"/>
    </xf>
    <xf numFmtId="49" fontId="18" fillId="0" borderId="16" xfId="0" applyNumberFormat="1" applyFont="1" applyFill="1" applyBorder="1" applyAlignment="1">
      <alignment vertical="top"/>
    </xf>
    <xf numFmtId="49" fontId="18" fillId="0" borderId="5" xfId="0" applyNumberFormat="1" applyFont="1" applyFill="1" applyBorder="1" applyAlignment="1">
      <alignment horizontal="center" vertical="top"/>
    </xf>
    <xf numFmtId="49" fontId="16" fillId="0" borderId="51" xfId="0" applyNumberFormat="1" applyFont="1" applyFill="1" applyBorder="1" applyAlignment="1">
      <alignment horizontal="left" wrapText="1"/>
    </xf>
    <xf numFmtId="49" fontId="18" fillId="0" borderId="5" xfId="0" applyNumberFormat="1" applyFont="1" applyFill="1" applyBorder="1" applyAlignment="1"/>
    <xf numFmtId="0" fontId="16" fillId="0" borderId="5" xfId="0" applyFont="1" applyFill="1" applyBorder="1" applyAlignment="1">
      <alignment horizontal="center" vertical="center" wrapText="1"/>
    </xf>
    <xf numFmtId="49" fontId="16" fillId="0" borderId="15" xfId="0" applyNumberFormat="1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182" fontId="16" fillId="0" borderId="15" xfId="0" applyNumberFormat="1" applyFont="1" applyFill="1" applyBorder="1" applyAlignment="1">
      <alignment horizontal="center" vertical="center" wrapText="1"/>
    </xf>
    <xf numFmtId="49" fontId="18" fillId="0" borderId="38" xfId="0" applyNumberFormat="1" applyFont="1" applyFill="1" applyBorder="1" applyAlignment="1">
      <alignment horizontal="center" vertical="center"/>
    </xf>
    <xf numFmtId="49" fontId="18" fillId="0" borderId="31" xfId="0" applyNumberFormat="1" applyFont="1" applyFill="1" applyBorder="1" applyAlignment="1">
      <alignment horizontal="left" vertical="top" wrapText="1"/>
    </xf>
    <xf numFmtId="49" fontId="16" fillId="0" borderId="51" xfId="0" applyNumberFormat="1" applyFont="1" applyFill="1" applyBorder="1" applyAlignment="1">
      <alignment horizontal="left" vertical="center" wrapText="1"/>
    </xf>
    <xf numFmtId="49" fontId="18" fillId="0" borderId="0" xfId="0" applyNumberFormat="1" applyFont="1" applyFill="1" applyBorder="1" applyAlignment="1">
      <alignment horizontal="left" vertical="center" wrapText="1"/>
    </xf>
    <xf numFmtId="49" fontId="18" fillId="0" borderId="16" xfId="0" applyNumberFormat="1" applyFont="1" applyFill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left" vertical="center" wrapText="1"/>
    </xf>
    <xf numFmtId="49" fontId="18" fillId="0" borderId="16" xfId="0" applyNumberFormat="1" applyFont="1" applyFill="1" applyBorder="1" applyAlignment="1">
      <alignment wrapText="1"/>
    </xf>
    <xf numFmtId="49" fontId="18" fillId="0" borderId="49" xfId="0" applyNumberFormat="1" applyFont="1" applyFill="1" applyBorder="1" applyAlignment="1">
      <alignment horizontal="left" vertical="center" wrapText="1"/>
    </xf>
    <xf numFmtId="182" fontId="18" fillId="0" borderId="49" xfId="3" applyNumberFormat="1" applyFont="1" applyFill="1" applyBorder="1" applyAlignment="1">
      <alignment horizontal="center" vertical="center"/>
    </xf>
    <xf numFmtId="49" fontId="18" fillId="0" borderId="50" xfId="0" applyNumberFormat="1" applyFont="1" applyFill="1" applyBorder="1" applyAlignment="1">
      <alignment horizontal="left" vertical="top" wrapText="1"/>
    </xf>
    <xf numFmtId="49" fontId="18" fillId="0" borderId="36" xfId="0" applyNumberFormat="1" applyFont="1" applyFill="1" applyBorder="1" applyAlignment="1">
      <alignment horizontal="center" vertical="center"/>
    </xf>
    <xf numFmtId="49" fontId="18" fillId="0" borderId="35" xfId="0" applyNumberFormat="1" applyFont="1" applyFill="1" applyBorder="1" applyAlignment="1">
      <alignment horizontal="left" vertical="top" wrapText="1"/>
    </xf>
    <xf numFmtId="182" fontId="18" fillId="0" borderId="36" xfId="3" applyNumberFormat="1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vertical="center" wrapText="1"/>
    </xf>
    <xf numFmtId="49" fontId="18" fillId="0" borderId="26" xfId="0" applyNumberFormat="1" applyFont="1" applyFill="1" applyBorder="1" applyAlignment="1">
      <alignment horizontal="center" vertical="center" wrapText="1"/>
    </xf>
    <xf numFmtId="49" fontId="18" fillId="0" borderId="5" xfId="0" applyNumberFormat="1" applyFont="1" applyFill="1" applyBorder="1" applyAlignment="1">
      <alignment horizontal="center" vertical="center"/>
    </xf>
    <xf numFmtId="49" fontId="18" fillId="0" borderId="5" xfId="0" applyNumberFormat="1" applyFont="1" applyFill="1" applyBorder="1" applyAlignment="1">
      <alignment vertical="center"/>
    </xf>
    <xf numFmtId="178" fontId="18" fillId="0" borderId="5" xfId="0" applyNumberFormat="1" applyFont="1" applyFill="1" applyBorder="1" applyAlignment="1" applyProtection="1">
      <alignment horizontal="center" vertical="center"/>
      <protection locked="0"/>
    </xf>
    <xf numFmtId="49" fontId="18" fillId="0" borderId="13" xfId="0" applyNumberFormat="1" applyFont="1" applyFill="1" applyBorder="1" applyAlignment="1">
      <alignment vertical="center"/>
    </xf>
    <xf numFmtId="178" fontId="18" fillId="0" borderId="31" xfId="0" applyNumberFormat="1" applyFont="1" applyFill="1" applyBorder="1" applyAlignment="1" applyProtection="1">
      <alignment horizontal="center" vertical="center"/>
      <protection locked="0"/>
    </xf>
    <xf numFmtId="182" fontId="18" fillId="0" borderId="32" xfId="3" applyNumberFormat="1" applyFont="1" applyFill="1" applyBorder="1" applyAlignment="1">
      <alignment horizontal="center" vertical="center"/>
    </xf>
    <xf numFmtId="49" fontId="18" fillId="0" borderId="26" xfId="0" applyNumberFormat="1" applyFont="1" applyFill="1" applyBorder="1" applyAlignment="1">
      <alignment horizontal="left" vertical="center" wrapText="1"/>
    </xf>
    <xf numFmtId="49" fontId="19" fillId="0" borderId="16" xfId="0" applyNumberFormat="1" applyFont="1" applyFill="1" applyBorder="1" applyAlignment="1">
      <alignment horizontal="center" vertical="center"/>
    </xf>
    <xf numFmtId="49" fontId="18" fillId="0" borderId="27" xfId="0" applyNumberFormat="1" applyFont="1" applyFill="1" applyBorder="1" applyAlignment="1">
      <alignment horizontal="center" vertical="center"/>
    </xf>
    <xf numFmtId="49" fontId="18" fillId="0" borderId="35" xfId="0" applyNumberFormat="1" applyFont="1" applyFill="1" applyBorder="1" applyAlignment="1">
      <alignment horizontal="left" vertical="center" wrapText="1"/>
    </xf>
    <xf numFmtId="49" fontId="19" fillId="0" borderId="36" xfId="0" applyNumberFormat="1" applyFont="1" applyFill="1" applyBorder="1" applyAlignment="1">
      <alignment horizontal="center" vertical="center"/>
    </xf>
    <xf numFmtId="178" fontId="18" fillId="0" borderId="36" xfId="0" applyNumberFormat="1" applyFont="1" applyFill="1" applyBorder="1" applyAlignment="1" applyProtection="1">
      <alignment horizontal="center" vertical="center"/>
      <protection locked="0"/>
    </xf>
    <xf numFmtId="182" fontId="18" fillId="0" borderId="27" xfId="3" applyNumberFormat="1" applyFont="1" applyFill="1" applyBorder="1" applyAlignment="1">
      <alignment horizontal="center" vertical="center"/>
    </xf>
    <xf numFmtId="182" fontId="18" fillId="0" borderId="37" xfId="3" applyNumberFormat="1" applyFont="1" applyFill="1" applyBorder="1" applyAlignment="1">
      <alignment horizontal="center" vertical="center"/>
    </xf>
    <xf numFmtId="49" fontId="18" fillId="0" borderId="52" xfId="0" applyNumberFormat="1" applyFont="1" applyFill="1" applyBorder="1" applyAlignment="1">
      <alignment horizontal="left" vertical="top" wrapText="1"/>
    </xf>
    <xf numFmtId="49" fontId="16" fillId="0" borderId="38" xfId="0" applyNumberFormat="1" applyFont="1" applyFill="1" applyBorder="1" applyAlignment="1">
      <alignment horizontal="center" vertical="center" wrapText="1"/>
    </xf>
    <xf numFmtId="0" fontId="16" fillId="0" borderId="38" xfId="0" applyFont="1" applyFill="1" applyBorder="1" applyAlignment="1">
      <alignment horizontal="left" vertical="center" wrapText="1"/>
    </xf>
    <xf numFmtId="0" fontId="16" fillId="0" borderId="38" xfId="0" applyFont="1" applyFill="1" applyBorder="1" applyAlignment="1">
      <alignment horizontal="center" vertical="center" wrapText="1"/>
    </xf>
    <xf numFmtId="49" fontId="18" fillId="0" borderId="31" xfId="0" applyNumberFormat="1" applyFont="1" applyFill="1" applyBorder="1" applyAlignment="1">
      <alignment horizontal="right" vertical="top"/>
    </xf>
    <xf numFmtId="49" fontId="18" fillId="0" borderId="38" xfId="0" applyNumberFormat="1" applyFont="1" applyFill="1" applyBorder="1" applyAlignment="1">
      <alignment horizontal="left" vertical="center" wrapText="1"/>
    </xf>
    <xf numFmtId="49" fontId="18" fillId="0" borderId="36" xfId="0" applyNumberFormat="1" applyFont="1" applyFill="1" applyBorder="1" applyAlignment="1">
      <alignment horizontal="center"/>
    </xf>
    <xf numFmtId="49" fontId="16" fillId="0" borderId="5" xfId="0" applyNumberFormat="1" applyFont="1" applyFill="1" applyBorder="1" applyAlignment="1">
      <alignment horizontal="center" vertical="center" wrapText="1"/>
    </xf>
    <xf numFmtId="182" fontId="16" fillId="0" borderId="5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Fill="1" applyBorder="1" applyAlignment="1">
      <alignment horizontal="left" vertical="top" wrapText="1"/>
    </xf>
    <xf numFmtId="49" fontId="16" fillId="0" borderId="53" xfId="0" applyNumberFormat="1" applyFont="1" applyFill="1" applyBorder="1" applyAlignment="1">
      <alignment horizontal="center" vertical="center" wrapText="1"/>
    </xf>
    <xf numFmtId="0" fontId="16" fillId="0" borderId="53" xfId="0" applyFont="1" applyFill="1" applyBorder="1" applyAlignment="1">
      <alignment horizontal="center" vertical="center" wrapText="1"/>
    </xf>
    <xf numFmtId="182" fontId="16" fillId="0" borderId="53" xfId="0" applyNumberFormat="1" applyFont="1" applyFill="1" applyBorder="1" applyAlignment="1">
      <alignment horizontal="center" vertical="center" wrapText="1"/>
    </xf>
    <xf numFmtId="0" fontId="16" fillId="3" borderId="53" xfId="0" applyFont="1" applyFill="1" applyBorder="1" applyAlignment="1">
      <alignment horizontal="center" vertical="center" wrapText="1"/>
    </xf>
    <xf numFmtId="49" fontId="16" fillId="0" borderId="49" xfId="0" applyNumberFormat="1" applyFont="1" applyFill="1" applyBorder="1" applyAlignment="1">
      <alignment horizontal="center" vertical="center" wrapText="1"/>
    </xf>
    <xf numFmtId="49" fontId="16" fillId="0" borderId="0" xfId="0" applyNumberFormat="1" applyFont="1" applyFill="1" applyBorder="1" applyAlignment="1">
      <alignment horizontal="left" vertical="center" wrapText="1"/>
    </xf>
    <xf numFmtId="0" fontId="16" fillId="0" borderId="49" xfId="0" applyFont="1" applyFill="1" applyBorder="1" applyAlignment="1">
      <alignment horizontal="center" vertical="center" wrapText="1"/>
    </xf>
    <xf numFmtId="49" fontId="18" fillId="0" borderId="31" xfId="0" applyNumberFormat="1" applyFont="1" applyFill="1" applyBorder="1" applyAlignment="1">
      <alignment horizontal="center"/>
    </xf>
    <xf numFmtId="182" fontId="18" fillId="0" borderId="36" xfId="0" applyNumberFormat="1" applyFont="1" applyFill="1" applyBorder="1" applyAlignment="1">
      <alignment horizontal="center" vertical="center"/>
    </xf>
    <xf numFmtId="49" fontId="18" fillId="0" borderId="54" xfId="0" applyNumberFormat="1" applyFont="1" applyFill="1" applyBorder="1" applyAlignment="1">
      <alignment horizontal="left" vertical="top" wrapText="1"/>
    </xf>
    <xf numFmtId="49" fontId="18" fillId="0" borderId="16" xfId="3" applyNumberFormat="1" applyFont="1" applyFill="1" applyBorder="1" applyAlignment="1">
      <alignment horizontal="center" vertical="center"/>
    </xf>
    <xf numFmtId="182" fontId="16" fillId="0" borderId="55" xfId="0" applyNumberFormat="1" applyFont="1" applyFill="1" applyBorder="1" applyAlignment="1">
      <alignment horizontal="center" vertical="center" wrapText="1"/>
    </xf>
    <xf numFmtId="1" fontId="18" fillId="0" borderId="31" xfId="3" applyNumberFormat="1" applyFont="1" applyFill="1" applyBorder="1" applyAlignment="1">
      <alignment horizontal="center" vertical="center"/>
    </xf>
    <xf numFmtId="49" fontId="18" fillId="0" borderId="15" xfId="0" applyNumberFormat="1" applyFont="1" applyFill="1" applyBorder="1" applyAlignment="1">
      <alignment horizontal="center" vertical="center"/>
    </xf>
    <xf numFmtId="182" fontId="18" fillId="0" borderId="56" xfId="0" applyNumberFormat="1" applyFont="1" applyFill="1" applyBorder="1" applyAlignment="1">
      <alignment horizontal="center" vertical="center"/>
    </xf>
    <xf numFmtId="182" fontId="18" fillId="0" borderId="37" xfId="0" applyNumberFormat="1" applyFont="1" applyFill="1" applyBorder="1" applyAlignment="1">
      <alignment horizontal="center" vertical="center"/>
    </xf>
    <xf numFmtId="49" fontId="18" fillId="0" borderId="32" xfId="0" applyNumberFormat="1" applyFont="1" applyFill="1" applyBorder="1" applyAlignment="1">
      <alignment horizontal="center" vertical="center"/>
    </xf>
    <xf numFmtId="182" fontId="18" fillId="0" borderId="56" xfId="3" applyNumberFormat="1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vertical="center" wrapText="1"/>
    </xf>
    <xf numFmtId="182" fontId="0" fillId="4" borderId="0" xfId="0" applyNumberFormat="1" applyFont="1" applyFill="1" applyBorder="1" applyAlignment="1">
      <alignment vertical="center"/>
    </xf>
    <xf numFmtId="0" fontId="53" fillId="4" borderId="0" xfId="0" applyFont="1" applyFill="1" applyBorder="1" applyAlignment="1">
      <alignment vertical="center"/>
    </xf>
    <xf numFmtId="0" fontId="55" fillId="4" borderId="0" xfId="0" applyFont="1" applyFill="1" applyBorder="1" applyAlignment="1">
      <alignment vertical="center"/>
    </xf>
    <xf numFmtId="0" fontId="55" fillId="4" borderId="0" xfId="0" applyFont="1" applyFill="1" applyBorder="1"/>
    <xf numFmtId="49" fontId="18" fillId="0" borderId="15" xfId="0" applyNumberFormat="1" applyFont="1" applyFill="1" applyBorder="1" applyAlignment="1">
      <alignment horizontal="center" vertical="center" wrapText="1"/>
    </xf>
    <xf numFmtId="182" fontId="18" fillId="0" borderId="2" xfId="3" applyNumberFormat="1" applyFont="1" applyFill="1" applyBorder="1" applyAlignment="1">
      <alignment horizontal="center" vertical="center"/>
    </xf>
    <xf numFmtId="49" fontId="19" fillId="0" borderId="31" xfId="0" applyNumberFormat="1" applyFont="1" applyFill="1" applyBorder="1" applyAlignment="1">
      <alignment horizontal="center" vertical="center"/>
    </xf>
    <xf numFmtId="49" fontId="24" fillId="0" borderId="7" xfId="0" applyNumberFormat="1" applyFont="1" applyBorder="1" applyAlignment="1">
      <alignment horizontal="center" vertical="center"/>
    </xf>
    <xf numFmtId="182" fontId="18" fillId="0" borderId="0" xfId="3" applyNumberFormat="1" applyFont="1" applyFill="1" applyBorder="1" applyAlignment="1">
      <alignment horizontal="center" vertical="center"/>
    </xf>
    <xf numFmtId="182" fontId="18" fillId="0" borderId="57" xfId="3" applyNumberFormat="1" applyFont="1" applyFill="1" applyBorder="1" applyAlignment="1">
      <alignment horizontal="center" vertical="center"/>
    </xf>
    <xf numFmtId="178" fontId="18" fillId="0" borderId="38" xfId="0" applyNumberFormat="1" applyFont="1" applyFill="1" applyBorder="1" applyAlignment="1" applyProtection="1">
      <alignment horizontal="center" vertical="center"/>
      <protection locked="0"/>
    </xf>
    <xf numFmtId="182" fontId="16" fillId="0" borderId="56" xfId="0" applyNumberFormat="1" applyFont="1" applyFill="1" applyBorder="1" applyAlignment="1">
      <alignment horizontal="center" vertical="center" wrapText="1"/>
    </xf>
    <xf numFmtId="182" fontId="18" fillId="0" borderId="15" xfId="3" applyNumberFormat="1" applyFont="1" applyFill="1" applyBorder="1" applyAlignment="1">
      <alignment horizontal="center" vertical="center"/>
    </xf>
    <xf numFmtId="49" fontId="18" fillId="0" borderId="37" xfId="0" applyNumberFormat="1" applyFont="1" applyFill="1" applyBorder="1" applyAlignment="1">
      <alignment horizontal="center" vertical="center"/>
    </xf>
    <xf numFmtId="49" fontId="18" fillId="0" borderId="20" xfId="0" applyNumberFormat="1" applyFont="1" applyFill="1" applyBorder="1" applyAlignment="1">
      <alignment horizontal="center" vertical="center"/>
    </xf>
    <xf numFmtId="182" fontId="18" fillId="0" borderId="53" xfId="3" applyNumberFormat="1" applyFont="1" applyFill="1" applyBorder="1" applyAlignment="1">
      <alignment horizontal="center" vertical="center"/>
    </xf>
    <xf numFmtId="49" fontId="18" fillId="0" borderId="26" xfId="3" applyNumberFormat="1" applyFont="1" applyFill="1" applyBorder="1" applyAlignment="1">
      <alignment horizontal="center" vertical="center"/>
    </xf>
    <xf numFmtId="183" fontId="18" fillId="0" borderId="0" xfId="3" applyNumberFormat="1" applyFont="1" applyFill="1" applyBorder="1" applyAlignment="1">
      <alignment horizontal="center" vertical="center"/>
    </xf>
    <xf numFmtId="49" fontId="18" fillId="0" borderId="31" xfId="3" applyNumberFormat="1" applyFont="1" applyFill="1" applyBorder="1" applyAlignment="1">
      <alignment horizontal="center" vertical="center"/>
    </xf>
    <xf numFmtId="49" fontId="16" fillId="0" borderId="58" xfId="0" applyNumberFormat="1" applyFont="1" applyFill="1" applyBorder="1" applyAlignment="1">
      <alignment horizontal="left" vertical="center" wrapText="1"/>
    </xf>
    <xf numFmtId="49" fontId="18" fillId="0" borderId="49" xfId="0" applyNumberFormat="1" applyFont="1" applyFill="1" applyBorder="1" applyAlignment="1">
      <alignment horizontal="right" vertical="top"/>
    </xf>
    <xf numFmtId="0" fontId="18" fillId="0" borderId="16" xfId="0" applyFont="1" applyFill="1" applyBorder="1" applyAlignment="1" applyProtection="1">
      <alignment horizontal="center" vertical="center"/>
      <protection locked="0"/>
    </xf>
    <xf numFmtId="49" fontId="18" fillId="0" borderId="31" xfId="0" applyNumberFormat="1" applyFont="1" applyFill="1" applyBorder="1" applyAlignment="1" applyProtection="1">
      <alignment horizontal="center" vertical="center"/>
      <protection locked="0"/>
    </xf>
    <xf numFmtId="49" fontId="18" fillId="0" borderId="16" xfId="0" applyNumberFormat="1" applyFont="1" applyFill="1" applyBorder="1" applyAlignment="1" applyProtection="1">
      <alignment horizontal="center" vertical="center"/>
      <protection locked="0"/>
    </xf>
    <xf numFmtId="49" fontId="18" fillId="3" borderId="26" xfId="0" applyNumberFormat="1" applyFont="1" applyFill="1" applyBorder="1" applyAlignment="1">
      <alignment horizontal="left" vertical="top" wrapText="1"/>
    </xf>
    <xf numFmtId="2" fontId="18" fillId="3" borderId="16" xfId="0" applyNumberFormat="1" applyFont="1" applyFill="1" applyBorder="1" applyAlignment="1">
      <alignment horizontal="left" vertical="top" wrapText="1"/>
    </xf>
    <xf numFmtId="49" fontId="18" fillId="3" borderId="16" xfId="0" applyNumberFormat="1" applyFont="1" applyFill="1" applyBorder="1" applyAlignment="1">
      <alignment horizontal="left" vertical="top" wrapText="1"/>
    </xf>
    <xf numFmtId="49" fontId="18" fillId="3" borderId="16" xfId="0" applyNumberFormat="1" applyFont="1" applyFill="1" applyBorder="1" applyAlignment="1">
      <alignment horizontal="left" vertical="center" wrapText="1"/>
    </xf>
    <xf numFmtId="0" fontId="16" fillId="3" borderId="15" xfId="0" applyFont="1" applyFill="1" applyBorder="1" applyAlignment="1">
      <alignment horizontal="left" vertical="center" wrapText="1"/>
    </xf>
    <xf numFmtId="49" fontId="18" fillId="3" borderId="31" xfId="0" applyNumberFormat="1" applyFont="1" applyFill="1" applyBorder="1" applyAlignment="1">
      <alignment horizontal="left" vertical="top" wrapText="1"/>
    </xf>
    <xf numFmtId="49" fontId="16" fillId="3" borderId="59" xfId="0" applyNumberFormat="1" applyFont="1" applyFill="1" applyBorder="1" applyAlignment="1">
      <alignment horizontal="left" vertical="center" wrapText="1"/>
    </xf>
    <xf numFmtId="49" fontId="18" fillId="3" borderId="0" xfId="0" applyNumberFormat="1" applyFont="1" applyFill="1" applyBorder="1" applyAlignment="1">
      <alignment horizontal="left" vertical="center" wrapText="1"/>
    </xf>
    <xf numFmtId="49" fontId="18" fillId="3" borderId="2" xfId="0" applyNumberFormat="1" applyFont="1" applyFill="1" applyBorder="1" applyAlignment="1">
      <alignment horizontal="left" vertical="center" wrapText="1"/>
    </xf>
    <xf numFmtId="49" fontId="18" fillId="3" borderId="16" xfId="0" applyNumberFormat="1" applyFont="1" applyFill="1" applyBorder="1" applyAlignment="1">
      <alignment wrapText="1"/>
    </xf>
    <xf numFmtId="49" fontId="18" fillId="3" borderId="60" xfId="0" applyNumberFormat="1" applyFont="1" applyFill="1" applyBorder="1" applyAlignment="1">
      <alignment horizontal="left" vertical="top" wrapText="1"/>
    </xf>
    <xf numFmtId="49" fontId="18" fillId="3" borderId="52" xfId="0" applyNumberFormat="1" applyFont="1" applyFill="1" applyBorder="1" applyAlignment="1">
      <alignment horizontal="left" vertical="top" wrapText="1"/>
    </xf>
    <xf numFmtId="49" fontId="16" fillId="3" borderId="51" xfId="0" applyNumberFormat="1" applyFont="1" applyFill="1" applyBorder="1" applyAlignment="1">
      <alignment horizontal="left" vertical="center" wrapText="1"/>
    </xf>
    <xf numFmtId="49" fontId="18" fillId="3" borderId="27" xfId="0" applyNumberFormat="1" applyFont="1" applyFill="1" applyBorder="1" applyAlignment="1">
      <alignment wrapText="1"/>
    </xf>
    <xf numFmtId="49" fontId="18" fillId="3" borderId="50" xfId="0" applyNumberFormat="1" applyFont="1" applyFill="1" applyBorder="1" applyAlignment="1">
      <alignment horizontal="left" vertical="top" wrapText="1"/>
    </xf>
    <xf numFmtId="49" fontId="18" fillId="3" borderId="49" xfId="0" applyNumberFormat="1" applyFont="1" applyFill="1" applyBorder="1" applyAlignment="1">
      <alignment horizontal="left" vertical="center" wrapText="1"/>
    </xf>
    <xf numFmtId="49" fontId="18" fillId="3" borderId="35" xfId="0" applyNumberFormat="1" applyFont="1" applyFill="1" applyBorder="1" applyAlignment="1">
      <alignment horizontal="left" vertical="top" wrapText="1"/>
    </xf>
    <xf numFmtId="0" fontId="18" fillId="3" borderId="36" xfId="0" applyFont="1" applyFill="1" applyBorder="1" applyAlignment="1">
      <alignment vertical="center" wrapText="1"/>
    </xf>
    <xf numFmtId="49" fontId="18" fillId="3" borderId="54" xfId="0" applyNumberFormat="1" applyFont="1" applyFill="1" applyBorder="1" applyAlignment="1">
      <alignment horizontal="left" vertical="top" wrapText="1"/>
    </xf>
    <xf numFmtId="49" fontId="18" fillId="3" borderId="50" xfId="0" applyNumberFormat="1" applyFont="1" applyFill="1" applyBorder="1" applyAlignment="1">
      <alignment horizontal="left" vertical="center" wrapText="1"/>
    </xf>
    <xf numFmtId="49" fontId="18" fillId="3" borderId="54" xfId="0" applyNumberFormat="1" applyFont="1" applyFill="1" applyBorder="1" applyAlignment="1">
      <alignment horizontal="left" vertical="center" wrapText="1"/>
    </xf>
    <xf numFmtId="2" fontId="18" fillId="0" borderId="2" xfId="0" applyNumberFormat="1" applyFont="1" applyFill="1" applyBorder="1" applyAlignment="1">
      <alignment horizontal="left" vertical="center" wrapText="1"/>
    </xf>
    <xf numFmtId="49" fontId="18" fillId="0" borderId="58" xfId="0" applyNumberFormat="1" applyFont="1" applyFill="1" applyBorder="1" applyAlignment="1">
      <alignment horizontal="left" vertical="center" wrapText="1"/>
    </xf>
    <xf numFmtId="49" fontId="18" fillId="3" borderId="26" xfId="0" applyNumberFormat="1" applyFont="1" applyFill="1" applyBorder="1" applyAlignment="1">
      <alignment horizontal="left" vertical="center" wrapText="1"/>
    </xf>
    <xf numFmtId="49" fontId="18" fillId="3" borderId="16" xfId="0" applyNumberFormat="1" applyFont="1" applyFill="1" applyBorder="1" applyAlignment="1">
      <alignment horizontal="center" vertical="center"/>
    </xf>
    <xf numFmtId="49" fontId="18" fillId="0" borderId="27" xfId="3" applyNumberFormat="1" applyFont="1" applyFill="1" applyBorder="1" applyAlignment="1">
      <alignment horizontal="center" vertical="center"/>
    </xf>
    <xf numFmtId="0" fontId="56" fillId="0" borderId="0" xfId="0" applyFont="1" applyFill="1" applyBorder="1" applyAlignment="1" applyProtection="1">
      <alignment horizontal="left" vertical="center" wrapText="1"/>
      <protection locked="0"/>
    </xf>
    <xf numFmtId="0" fontId="56" fillId="0" borderId="0" xfId="0" applyFont="1" applyFill="1" applyBorder="1" applyAlignment="1" applyProtection="1">
      <alignment vertical="center" wrapText="1"/>
      <protection locked="0"/>
    </xf>
    <xf numFmtId="49" fontId="18" fillId="3" borderId="0" xfId="0" applyNumberFormat="1" applyFont="1" applyFill="1" applyBorder="1" applyAlignment="1">
      <alignment horizontal="left" vertical="top" wrapText="1"/>
    </xf>
    <xf numFmtId="49" fontId="18" fillId="0" borderId="53" xfId="0" applyNumberFormat="1" applyFont="1" applyFill="1" applyBorder="1" applyAlignment="1">
      <alignment horizontal="center" vertical="center" wrapText="1"/>
    </xf>
    <xf numFmtId="49" fontId="18" fillId="0" borderId="53" xfId="3" applyNumberFormat="1" applyFont="1" applyFill="1" applyBorder="1" applyAlignment="1">
      <alignment horizontal="center" vertical="center"/>
    </xf>
    <xf numFmtId="49" fontId="16" fillId="0" borderId="61" xfId="0" applyNumberFormat="1" applyFont="1" applyFill="1" applyBorder="1" applyAlignment="1">
      <alignment horizontal="left" vertical="center" wrapText="1"/>
    </xf>
    <xf numFmtId="49" fontId="18" fillId="0" borderId="15" xfId="0" applyNumberFormat="1" applyFont="1" applyFill="1" applyBorder="1" applyAlignment="1">
      <alignment vertical="center"/>
    </xf>
    <xf numFmtId="49" fontId="18" fillId="0" borderId="62" xfId="0" applyNumberFormat="1" applyFont="1" applyFill="1" applyBorder="1" applyAlignment="1">
      <alignment vertical="center"/>
    </xf>
    <xf numFmtId="49" fontId="18" fillId="3" borderId="58" xfId="0" applyNumberFormat="1" applyFont="1" applyFill="1" applyBorder="1" applyAlignment="1">
      <alignment horizontal="left" vertical="center" wrapText="1"/>
    </xf>
    <xf numFmtId="182" fontId="18" fillId="0" borderId="58" xfId="3" applyNumberFormat="1" applyFont="1" applyFill="1" applyBorder="1" applyAlignment="1">
      <alignment horizontal="center" vertical="center"/>
    </xf>
    <xf numFmtId="0" fontId="56" fillId="4" borderId="0" xfId="0" applyFont="1" applyFill="1" applyBorder="1" applyAlignment="1">
      <alignment vertical="center"/>
    </xf>
    <xf numFmtId="0" fontId="57" fillId="4" borderId="0" xfId="0" applyFont="1" applyFill="1" applyBorder="1" applyAlignment="1">
      <alignment vertical="center"/>
    </xf>
    <xf numFmtId="0" fontId="57" fillId="4" borderId="0" xfId="0" applyFont="1" applyFill="1" applyBorder="1"/>
    <xf numFmtId="182" fontId="57" fillId="4" borderId="0" xfId="0" applyNumberFormat="1" applyFont="1" applyFill="1" applyBorder="1" applyAlignment="1">
      <alignment vertical="center"/>
    </xf>
    <xf numFmtId="182" fontId="0" fillId="4" borderId="0" xfId="0" applyNumberFormat="1" applyFill="1" applyBorder="1"/>
    <xf numFmtId="182" fontId="56" fillId="4" borderId="0" xfId="0" applyNumberFormat="1" applyFont="1" applyFill="1" applyBorder="1" applyAlignment="1" applyProtection="1">
      <alignment horizontal="center" vertical="center" wrapText="1"/>
      <protection locked="0"/>
    </xf>
    <xf numFmtId="182" fontId="56" fillId="4" borderId="0" xfId="0" applyNumberFormat="1" applyFont="1" applyFill="1" applyBorder="1" applyAlignment="1" applyProtection="1">
      <alignment vertical="center" wrapText="1"/>
      <protection locked="0"/>
    </xf>
    <xf numFmtId="49" fontId="18" fillId="0" borderId="31" xfId="0" applyNumberFormat="1" applyFont="1" applyFill="1" applyBorder="1" applyAlignment="1">
      <alignment horizontal="left" vertical="center" wrapText="1"/>
    </xf>
    <xf numFmtId="49" fontId="58" fillId="0" borderId="5" xfId="0" applyNumberFormat="1" applyFont="1" applyFill="1" applyBorder="1" applyAlignment="1">
      <alignment vertical="center"/>
    </xf>
    <xf numFmtId="49" fontId="18" fillId="3" borderId="2" xfId="0" applyNumberFormat="1" applyFont="1" applyFill="1" applyBorder="1" applyAlignment="1">
      <alignment horizontal="left" vertical="top" wrapText="1"/>
    </xf>
    <xf numFmtId="1" fontId="18" fillId="0" borderId="32" xfId="3" applyNumberFormat="1" applyFont="1" applyFill="1" applyBorder="1" applyAlignment="1">
      <alignment horizontal="center" vertical="center"/>
    </xf>
    <xf numFmtId="0" fontId="18" fillId="0" borderId="60" xfId="0" applyFont="1" applyFill="1" applyBorder="1" applyAlignment="1">
      <alignment vertical="center" wrapText="1"/>
    </xf>
    <xf numFmtId="49" fontId="18" fillId="0" borderId="36" xfId="0" applyNumberFormat="1" applyFont="1" applyFill="1" applyBorder="1" applyAlignment="1">
      <alignment horizontal="left" vertical="top" wrapText="1"/>
    </xf>
    <xf numFmtId="49" fontId="18" fillId="0" borderId="37" xfId="0" applyNumberFormat="1" applyFont="1" applyFill="1" applyBorder="1" applyAlignment="1">
      <alignment horizontal="left"/>
    </xf>
    <xf numFmtId="49" fontId="18" fillId="0" borderId="27" xfId="0" applyNumberFormat="1" applyFont="1" applyFill="1" applyBorder="1" applyAlignment="1">
      <alignment horizontal="left"/>
    </xf>
    <xf numFmtId="49" fontId="18" fillId="0" borderId="32" xfId="0" applyNumberFormat="1" applyFont="1" applyFill="1" applyBorder="1" applyAlignment="1">
      <alignment horizontal="left" vertical="top" wrapText="1"/>
    </xf>
    <xf numFmtId="49" fontId="18" fillId="0" borderId="32" xfId="0" applyNumberFormat="1" applyFont="1" applyFill="1" applyBorder="1" applyAlignment="1">
      <alignment horizontal="left"/>
    </xf>
    <xf numFmtId="1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56" xfId="0" applyNumberFormat="1" applyFont="1" applyFill="1" applyBorder="1" applyAlignment="1">
      <alignment horizontal="left" vertical="center" wrapText="1"/>
    </xf>
    <xf numFmtId="49" fontId="18" fillId="0" borderId="56" xfId="0" applyNumberFormat="1" applyFont="1" applyFill="1" applyBorder="1" applyAlignment="1">
      <alignment horizontal="left"/>
    </xf>
    <xf numFmtId="0" fontId="18" fillId="0" borderId="49" xfId="0" applyFont="1" applyFill="1" applyBorder="1" applyAlignment="1">
      <alignment horizontal="center" vertical="center" wrapText="1"/>
    </xf>
    <xf numFmtId="49" fontId="19" fillId="0" borderId="49" xfId="0" applyNumberFormat="1" applyFont="1" applyFill="1" applyBorder="1" applyAlignment="1">
      <alignment horizontal="center" vertical="center"/>
    </xf>
    <xf numFmtId="182" fontId="21" fillId="4" borderId="0" xfId="0" applyNumberFormat="1" applyFont="1" applyFill="1" applyBorder="1" applyAlignment="1" applyProtection="1">
      <alignment vertical="center" wrapText="1"/>
      <protection locked="0"/>
    </xf>
    <xf numFmtId="49" fontId="21" fillId="0" borderId="0" xfId="0" applyNumberFormat="1" applyFont="1" applyFill="1" applyBorder="1" applyAlignment="1" applyProtection="1">
      <alignment vertical="center" wrapText="1"/>
      <protection locked="0"/>
    </xf>
    <xf numFmtId="1" fontId="18" fillId="0" borderId="36" xfId="0" applyNumberFormat="1" applyFont="1" applyFill="1" applyBorder="1" applyAlignment="1" applyProtection="1">
      <alignment horizontal="center" vertical="center"/>
      <protection locked="0"/>
    </xf>
    <xf numFmtId="49" fontId="18" fillId="0" borderId="49" xfId="0" applyNumberFormat="1" applyFont="1" applyFill="1" applyBorder="1" applyAlignment="1" applyProtection="1">
      <alignment horizontal="center" vertical="center"/>
      <protection locked="0"/>
    </xf>
    <xf numFmtId="49" fontId="18" fillId="0" borderId="49" xfId="0" quotePrefix="1" applyNumberFormat="1" applyFont="1" applyFill="1" applyBorder="1" applyAlignment="1">
      <alignment horizontal="center" vertical="center" wrapText="1"/>
    </xf>
    <xf numFmtId="49" fontId="18" fillId="0" borderId="0" xfId="0" applyNumberFormat="1" applyFont="1" applyFill="1" applyBorder="1" applyAlignment="1">
      <alignment horizontal="center" vertical="center"/>
    </xf>
    <xf numFmtId="49" fontId="18" fillId="0" borderId="53" xfId="0" applyNumberFormat="1" applyFont="1" applyFill="1" applyBorder="1" applyAlignment="1">
      <alignment horizontal="center" vertical="center"/>
    </xf>
    <xf numFmtId="1" fontId="18" fillId="0" borderId="16" xfId="0" applyNumberFormat="1" applyFont="1" applyFill="1" applyBorder="1" applyAlignment="1" applyProtection="1">
      <alignment horizontal="center" vertical="center" wrapText="1"/>
      <protection locked="0"/>
    </xf>
    <xf numFmtId="2" fontId="18" fillId="0" borderId="63" xfId="0" applyNumberFormat="1" applyFont="1" applyFill="1" applyBorder="1" applyAlignment="1">
      <alignment horizontal="left" vertical="top" wrapText="1"/>
    </xf>
    <xf numFmtId="182" fontId="18" fillId="0" borderId="31" xfId="0" applyNumberFormat="1" applyFont="1" applyFill="1" applyBorder="1" applyAlignment="1">
      <alignment horizontal="center" vertical="center" wrapText="1"/>
    </xf>
    <xf numFmtId="182" fontId="58" fillId="0" borderId="31" xfId="0" applyNumberFormat="1" applyFont="1" applyFill="1" applyBorder="1" applyAlignment="1">
      <alignment horizontal="center" vertical="center" wrapText="1"/>
    </xf>
    <xf numFmtId="182" fontId="58" fillId="0" borderId="31" xfId="0" applyNumberFormat="1" applyFont="1" applyFill="1" applyBorder="1" applyAlignment="1" applyProtection="1">
      <alignment horizontal="center" vertical="center"/>
      <protection locked="0"/>
    </xf>
    <xf numFmtId="49" fontId="18" fillId="0" borderId="16" xfId="0" applyNumberFormat="1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49" fontId="18" fillId="3" borderId="49" xfId="0" applyNumberFormat="1" applyFont="1" applyFill="1" applyBorder="1" applyAlignment="1">
      <alignment horizontal="center" vertical="center" wrapText="1"/>
    </xf>
    <xf numFmtId="182" fontId="18" fillId="3" borderId="56" xfId="3" applyNumberFormat="1" applyFont="1" applyFill="1" applyBorder="1" applyAlignment="1">
      <alignment horizontal="center" vertical="center"/>
    </xf>
    <xf numFmtId="49" fontId="19" fillId="3" borderId="49" xfId="0" applyNumberFormat="1" applyFont="1" applyFill="1" applyBorder="1" applyAlignment="1">
      <alignment horizontal="center" vertical="center"/>
    </xf>
    <xf numFmtId="178" fontId="18" fillId="3" borderId="49" xfId="0" applyNumberFormat="1" applyFont="1" applyFill="1" applyBorder="1" applyAlignment="1" applyProtection="1">
      <alignment horizontal="center" vertical="center"/>
      <protection locked="0"/>
    </xf>
    <xf numFmtId="49" fontId="16" fillId="0" borderId="59" xfId="0" applyNumberFormat="1" applyFont="1" applyFill="1" applyBorder="1" applyAlignment="1">
      <alignment horizontal="left" vertical="center" wrapText="1"/>
    </xf>
    <xf numFmtId="49" fontId="18" fillId="0" borderId="55" xfId="0" applyNumberFormat="1" applyFont="1" applyFill="1" applyBorder="1" applyAlignment="1">
      <alignment vertical="center"/>
    </xf>
    <xf numFmtId="49" fontId="18" fillId="0" borderId="53" xfId="0" applyNumberFormat="1" applyFont="1" applyFill="1" applyBorder="1" applyAlignment="1">
      <alignment vertical="center"/>
    </xf>
    <xf numFmtId="178" fontId="18" fillId="0" borderId="53" xfId="0" applyNumberFormat="1" applyFont="1" applyFill="1" applyBorder="1" applyAlignment="1" applyProtection="1">
      <alignment horizontal="center" vertical="center"/>
      <protection locked="0"/>
    </xf>
    <xf numFmtId="178" fontId="58" fillId="0" borderId="53" xfId="0" applyNumberFormat="1" applyFont="1" applyFill="1" applyBorder="1" applyAlignment="1" applyProtection="1">
      <alignment horizontal="center" vertical="center"/>
      <protection locked="0"/>
    </xf>
    <xf numFmtId="1" fontId="18" fillId="0" borderId="31" xfId="0" applyNumberFormat="1" applyFont="1" applyFill="1" applyBorder="1" applyAlignment="1" applyProtection="1">
      <alignment horizontal="center" vertical="center"/>
      <protection locked="0"/>
    </xf>
    <xf numFmtId="2" fontId="18" fillId="3" borderId="38" xfId="0" applyNumberFormat="1" applyFont="1" applyFill="1" applyBorder="1" applyAlignment="1">
      <alignment horizontal="left" vertical="top" wrapText="1"/>
    </xf>
    <xf numFmtId="182" fontId="18" fillId="0" borderId="57" xfId="0" applyNumberFormat="1" applyFont="1" applyFill="1" applyBorder="1" applyAlignment="1">
      <alignment horizontal="center" vertical="center" wrapText="1"/>
    </xf>
    <xf numFmtId="49" fontId="18" fillId="3" borderId="31" xfId="0" applyNumberFormat="1" applyFont="1" applyFill="1" applyBorder="1" applyAlignment="1">
      <alignment horizontal="center" vertical="center"/>
    </xf>
    <xf numFmtId="49" fontId="18" fillId="3" borderId="31" xfId="0" applyNumberFormat="1" applyFont="1" applyFill="1" applyBorder="1" applyAlignment="1">
      <alignment horizontal="center" vertical="center" wrapText="1"/>
    </xf>
    <xf numFmtId="182" fontId="18" fillId="3" borderId="32" xfId="3" applyNumberFormat="1" applyFont="1" applyFill="1" applyBorder="1" applyAlignment="1">
      <alignment horizontal="center" vertical="center"/>
    </xf>
    <xf numFmtId="49" fontId="19" fillId="3" borderId="31" xfId="0" applyNumberFormat="1" applyFont="1" applyFill="1" applyBorder="1" applyAlignment="1">
      <alignment horizontal="center" vertical="center"/>
    </xf>
    <xf numFmtId="178" fontId="18" fillId="3" borderId="31" xfId="0" applyNumberFormat="1" applyFont="1" applyFill="1" applyBorder="1" applyAlignment="1" applyProtection="1">
      <alignment horizontal="center" vertical="center"/>
      <protection locked="0"/>
    </xf>
    <xf numFmtId="1" fontId="18" fillId="0" borderId="16" xfId="0" applyNumberFormat="1" applyFont="1" applyFill="1" applyBorder="1" applyAlignment="1" applyProtection="1">
      <alignment horizontal="center" vertical="center"/>
      <protection locked="0"/>
    </xf>
    <xf numFmtId="49" fontId="18" fillId="0" borderId="49" xfId="0" applyNumberFormat="1" applyFont="1" applyFill="1" applyBorder="1" applyAlignment="1">
      <alignment horizontal="center" vertical="top"/>
    </xf>
    <xf numFmtId="49" fontId="16" fillId="0" borderId="0" xfId="0" applyNumberFormat="1" applyFont="1" applyFill="1" applyBorder="1" applyAlignment="1">
      <alignment horizontal="left" wrapText="1"/>
    </xf>
    <xf numFmtId="0" fontId="16" fillId="0" borderId="5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21" fillId="0" borderId="56" xfId="0" applyFont="1" applyFill="1" applyBorder="1" applyAlignment="1" applyProtection="1">
      <alignment vertical="center" wrapText="1"/>
      <protection locked="0"/>
    </xf>
    <xf numFmtId="182" fontId="21" fillId="3" borderId="0" xfId="0" applyNumberFormat="1" applyFont="1" applyFill="1" applyBorder="1" applyAlignment="1" applyProtection="1">
      <alignment horizontal="left" vertical="center" wrapText="1"/>
      <protection locked="0"/>
    </xf>
    <xf numFmtId="182" fontId="18" fillId="0" borderId="16" xfId="0" applyNumberFormat="1" applyFont="1" applyFill="1" applyBorder="1" applyAlignment="1">
      <alignment horizontal="center" vertical="center"/>
    </xf>
    <xf numFmtId="182" fontId="59" fillId="0" borderId="49" xfId="0" applyNumberFormat="1" applyFont="1" applyFill="1" applyBorder="1" applyAlignment="1">
      <alignment horizontal="center" vertical="center"/>
    </xf>
    <xf numFmtId="49" fontId="59" fillId="0" borderId="49" xfId="0" applyNumberFormat="1" applyFont="1" applyFill="1" applyBorder="1" applyAlignment="1">
      <alignment horizontal="center" vertical="center"/>
    </xf>
    <xf numFmtId="182" fontId="59" fillId="0" borderId="49" xfId="0" applyNumberFormat="1" applyFont="1" applyFill="1" applyBorder="1" applyAlignment="1" applyProtection="1">
      <alignment horizontal="center" vertical="center"/>
      <protection locked="0"/>
    </xf>
    <xf numFmtId="49" fontId="59" fillId="0" borderId="16" xfId="0" applyNumberFormat="1" applyFont="1" applyFill="1" applyBorder="1" applyAlignment="1">
      <alignment horizontal="center" vertical="center" wrapText="1"/>
    </xf>
    <xf numFmtId="182" fontId="59" fillId="0" borderId="16" xfId="0" applyNumberFormat="1" applyFont="1" applyFill="1" applyBorder="1" applyAlignment="1">
      <alignment horizontal="center" vertical="center" wrapText="1"/>
    </xf>
    <xf numFmtId="49" fontId="59" fillId="0" borderId="16" xfId="0" applyNumberFormat="1" applyFont="1" applyFill="1" applyBorder="1" applyAlignment="1" applyProtection="1">
      <alignment horizontal="center" vertical="center"/>
      <protection locked="0"/>
    </xf>
    <xf numFmtId="182" fontId="59" fillId="0" borderId="31" xfId="0" applyNumberFormat="1" applyFont="1" applyFill="1" applyBorder="1" applyAlignment="1">
      <alignment horizontal="center" vertical="center"/>
    </xf>
    <xf numFmtId="182" fontId="59" fillId="0" borderId="16" xfId="0" applyNumberFormat="1" applyFont="1" applyFill="1" applyBorder="1" applyAlignment="1">
      <alignment horizontal="center" vertical="center"/>
    </xf>
    <xf numFmtId="49" fontId="59" fillId="0" borderId="16" xfId="0" applyNumberFormat="1" applyFont="1" applyFill="1" applyBorder="1" applyAlignment="1">
      <alignment horizontal="center" vertical="center"/>
    </xf>
    <xf numFmtId="182" fontId="59" fillId="0" borderId="16" xfId="0" applyNumberFormat="1" applyFont="1" applyFill="1" applyBorder="1" applyAlignment="1" applyProtection="1">
      <alignment horizontal="center" vertical="center"/>
      <protection locked="0"/>
    </xf>
    <xf numFmtId="49" fontId="59" fillId="0" borderId="49" xfId="0" applyNumberFormat="1" applyFont="1" applyFill="1" applyBorder="1" applyAlignment="1">
      <alignment horizontal="left" vertical="center" wrapText="1"/>
    </xf>
    <xf numFmtId="49" fontId="59" fillId="0" borderId="16" xfId="0" applyNumberFormat="1" applyFont="1" applyFill="1" applyBorder="1" applyAlignment="1">
      <alignment horizontal="left" vertical="center" wrapText="1"/>
    </xf>
    <xf numFmtId="49" fontId="59" fillId="0" borderId="31" xfId="0" applyNumberFormat="1" applyFont="1" applyFill="1" applyBorder="1" applyAlignment="1">
      <alignment horizontal="center" vertical="center"/>
    </xf>
    <xf numFmtId="49" fontId="59" fillId="0" borderId="31" xfId="0" applyNumberFormat="1" applyFont="1" applyFill="1" applyBorder="1" applyAlignment="1">
      <alignment horizontal="left" vertical="center" wrapText="1"/>
    </xf>
    <xf numFmtId="1" fontId="59" fillId="0" borderId="31" xfId="0" applyNumberFormat="1" applyFont="1" applyFill="1" applyBorder="1" applyAlignment="1">
      <alignment horizontal="center" vertical="center"/>
    </xf>
    <xf numFmtId="182" fontId="59" fillId="0" borderId="31" xfId="0" applyNumberFormat="1" applyFont="1" applyFill="1" applyBorder="1" applyAlignment="1" applyProtection="1">
      <alignment horizontal="center" vertical="center"/>
      <protection locked="0"/>
    </xf>
    <xf numFmtId="2" fontId="59" fillId="0" borderId="16" xfId="0" quotePrefix="1" applyNumberFormat="1" applyFont="1" applyFill="1" applyBorder="1" applyAlignment="1">
      <alignment horizontal="left" vertical="top" wrapText="1"/>
    </xf>
    <xf numFmtId="49" fontId="59" fillId="0" borderId="64" xfId="0" applyNumberFormat="1" applyFont="1" applyFill="1" applyBorder="1" applyAlignment="1">
      <alignment horizontal="center" vertical="center" wrapText="1"/>
    </xf>
    <xf numFmtId="182" fontId="59" fillId="3" borderId="16" xfId="0" applyNumberFormat="1" applyFont="1" applyFill="1" applyBorder="1" applyAlignment="1">
      <alignment horizontal="center" vertical="center"/>
    </xf>
    <xf numFmtId="182" fontId="0" fillId="0" borderId="0" xfId="0" applyNumberFormat="1" applyBorder="1"/>
    <xf numFmtId="49" fontId="59" fillId="0" borderId="31" xfId="0" applyNumberFormat="1" applyFont="1" applyFill="1" applyBorder="1" applyAlignment="1">
      <alignment horizontal="center" vertical="center" wrapText="1"/>
    </xf>
    <xf numFmtId="1" fontId="59" fillId="0" borderId="31" xfId="0" applyNumberFormat="1" applyFont="1" applyFill="1" applyBorder="1" applyAlignment="1">
      <alignment horizontal="center" vertical="center" wrapText="1"/>
    </xf>
    <xf numFmtId="49" fontId="18" fillId="0" borderId="59" xfId="0" applyNumberFormat="1" applyFont="1" applyFill="1" applyBorder="1" applyAlignment="1">
      <alignment horizontal="center" vertical="center"/>
    </xf>
    <xf numFmtId="0" fontId="56" fillId="0" borderId="65" xfId="0" applyFont="1" applyFill="1" applyBorder="1" applyAlignment="1" applyProtection="1">
      <alignment horizontal="center" vertical="center" wrapText="1"/>
      <protection locked="0"/>
    </xf>
    <xf numFmtId="49" fontId="60" fillId="0" borderId="53" xfId="0" applyNumberFormat="1" applyFont="1" applyFill="1" applyBorder="1" applyAlignment="1">
      <alignment horizontal="left" vertical="top" wrapText="1"/>
    </xf>
    <xf numFmtId="49" fontId="59" fillId="0" borderId="59" xfId="0" applyNumberFormat="1" applyFont="1" applyFill="1" applyBorder="1" applyAlignment="1">
      <alignment horizontal="center" vertical="center"/>
    </xf>
    <xf numFmtId="182" fontId="59" fillId="0" borderId="53" xfId="3" applyNumberFormat="1" applyFont="1" applyFill="1" applyBorder="1" applyAlignment="1">
      <alignment horizontal="center" vertical="center"/>
    </xf>
    <xf numFmtId="49" fontId="59" fillId="0" borderId="53" xfId="0" applyNumberFormat="1" applyFont="1" applyFill="1" applyBorder="1" applyAlignment="1">
      <alignment horizontal="left"/>
    </xf>
    <xf numFmtId="178" fontId="59" fillId="0" borderId="55" xfId="0" applyNumberFormat="1" applyFont="1" applyFill="1" applyBorder="1" applyAlignment="1" applyProtection="1">
      <alignment horizontal="center" vertical="center"/>
      <protection locked="0"/>
    </xf>
    <xf numFmtId="0" fontId="56" fillId="0" borderId="52" xfId="0" applyFont="1" applyFill="1" applyBorder="1" applyAlignment="1" applyProtection="1">
      <alignment horizontal="center" vertical="center" wrapText="1"/>
      <protection locked="0"/>
    </xf>
    <xf numFmtId="49" fontId="60" fillId="0" borderId="49" xfId="0" applyNumberFormat="1" applyFont="1" applyFill="1" applyBorder="1" applyAlignment="1">
      <alignment horizontal="left" vertical="top" wrapText="1"/>
    </xf>
    <xf numFmtId="49" fontId="59" fillId="0" borderId="0" xfId="0" applyNumberFormat="1" applyFont="1" applyFill="1" applyBorder="1" applyAlignment="1">
      <alignment horizontal="center" vertical="center"/>
    </xf>
    <xf numFmtId="182" fontId="59" fillId="0" borderId="49" xfId="3" applyNumberFormat="1" applyFont="1" applyFill="1" applyBorder="1" applyAlignment="1">
      <alignment horizontal="center" vertical="center"/>
    </xf>
    <xf numFmtId="49" fontId="59" fillId="0" borderId="49" xfId="0" applyNumberFormat="1" applyFont="1" applyFill="1" applyBorder="1" applyAlignment="1">
      <alignment horizontal="left"/>
    </xf>
    <xf numFmtId="178" fontId="59" fillId="0" borderId="56" xfId="0" applyNumberFormat="1" applyFont="1" applyFill="1" applyBorder="1" applyAlignment="1" applyProtection="1">
      <alignment horizontal="center" vertical="center"/>
      <protection locked="0"/>
    </xf>
    <xf numFmtId="2" fontId="59" fillId="3" borderId="16" xfId="0" applyNumberFormat="1" applyFont="1" applyFill="1" applyBorder="1" applyAlignment="1">
      <alignment horizontal="left" vertical="top" wrapText="1"/>
    </xf>
    <xf numFmtId="182" fontId="59" fillId="0" borderId="16" xfId="3" applyNumberFormat="1" applyFont="1" applyFill="1" applyBorder="1" applyAlignment="1">
      <alignment horizontal="center" vertical="center"/>
    </xf>
    <xf numFmtId="49" fontId="61" fillId="0" borderId="50" xfId="0" applyNumberFormat="1" applyFont="1" applyFill="1" applyBorder="1" applyAlignment="1">
      <alignment horizontal="center" vertical="center" wrapText="1"/>
    </xf>
    <xf numFmtId="49" fontId="59" fillId="3" borderId="16" xfId="0" applyNumberFormat="1" applyFont="1" applyFill="1" applyBorder="1" applyAlignment="1">
      <alignment horizontal="left" vertical="top" wrapText="1"/>
    </xf>
    <xf numFmtId="49" fontId="59" fillId="3" borderId="16" xfId="0" applyNumberFormat="1" applyFont="1" applyFill="1" applyBorder="1" applyAlignment="1">
      <alignment horizontal="left" vertical="center" wrapText="1"/>
    </xf>
    <xf numFmtId="49" fontId="59" fillId="0" borderId="27" xfId="0" applyNumberFormat="1" applyFont="1" applyFill="1" applyBorder="1" applyAlignment="1">
      <alignment horizontal="center"/>
    </xf>
    <xf numFmtId="49" fontId="62" fillId="0" borderId="50" xfId="0" applyNumberFormat="1" applyFont="1" applyFill="1" applyBorder="1" applyAlignment="1">
      <alignment horizontal="center" vertical="center" wrapText="1"/>
    </xf>
    <xf numFmtId="49" fontId="59" fillId="0" borderId="50" xfId="0" applyNumberFormat="1" applyFont="1" applyFill="1" applyBorder="1" applyAlignment="1">
      <alignment horizontal="left" vertical="center"/>
    </xf>
    <xf numFmtId="1" fontId="59" fillId="0" borderId="16" xfId="0" applyNumberFormat="1" applyFont="1" applyFill="1" applyBorder="1" applyAlignment="1" applyProtection="1">
      <alignment horizontal="center" vertical="center"/>
      <protection locked="0"/>
    </xf>
    <xf numFmtId="0" fontId="56" fillId="0" borderId="66" xfId="0" applyFont="1" applyFill="1" applyBorder="1" applyAlignment="1" applyProtection="1">
      <alignment horizontal="center" vertical="center" wrapText="1"/>
      <protection locked="0"/>
    </xf>
    <xf numFmtId="49" fontId="60" fillId="0" borderId="20" xfId="0" applyNumberFormat="1" applyFont="1" applyFill="1" applyBorder="1" applyAlignment="1">
      <alignment horizontal="left" vertical="top" wrapText="1"/>
    </xf>
    <xf numFmtId="49" fontId="59" fillId="0" borderId="19" xfId="0" applyNumberFormat="1" applyFont="1" applyFill="1" applyBorder="1" applyAlignment="1">
      <alignment horizontal="center" vertical="center"/>
    </xf>
    <xf numFmtId="182" fontId="59" fillId="0" borderId="20" xfId="3" applyNumberFormat="1" applyFont="1" applyFill="1" applyBorder="1" applyAlignment="1">
      <alignment horizontal="center" vertical="center"/>
    </xf>
    <xf numFmtId="49" fontId="59" fillId="0" borderId="20" xfId="0" applyNumberFormat="1" applyFont="1" applyFill="1" applyBorder="1" applyAlignment="1">
      <alignment horizontal="left"/>
    </xf>
    <xf numFmtId="178" fontId="59" fillId="0" borderId="21" xfId="0" applyNumberFormat="1" applyFont="1" applyFill="1" applyBorder="1" applyAlignment="1" applyProtection="1">
      <alignment horizontal="center" vertical="center"/>
      <protection locked="0"/>
    </xf>
    <xf numFmtId="49" fontId="59" fillId="0" borderId="31" xfId="0" applyNumberFormat="1" applyFont="1" applyFill="1" applyBorder="1" applyAlignment="1">
      <alignment horizontal="left" vertical="top" wrapText="1"/>
    </xf>
    <xf numFmtId="49" fontId="59" fillId="0" borderId="2" xfId="0" applyNumberFormat="1" applyFont="1" applyFill="1" applyBorder="1" applyAlignment="1">
      <alignment horizontal="center" vertical="center" wrapText="1"/>
    </xf>
    <xf numFmtId="182" fontId="59" fillId="0" borderId="31" xfId="3" applyNumberFormat="1" applyFont="1" applyFill="1" applyBorder="1" applyAlignment="1">
      <alignment horizontal="center" vertical="center"/>
    </xf>
    <xf numFmtId="49" fontId="59" fillId="0" borderId="31" xfId="0" applyNumberFormat="1" applyFont="1" applyFill="1" applyBorder="1" applyAlignment="1">
      <alignment horizontal="left"/>
    </xf>
    <xf numFmtId="1" fontId="59" fillId="0" borderId="31" xfId="0" applyNumberFormat="1" applyFont="1" applyFill="1" applyBorder="1" applyAlignment="1" applyProtection="1">
      <alignment horizontal="center" vertical="center"/>
      <protection locked="0"/>
    </xf>
    <xf numFmtId="1" fontId="59" fillId="0" borderId="31" xfId="3" applyNumberFormat="1" applyFont="1" applyFill="1" applyBorder="1" applyAlignment="1">
      <alignment horizontal="center" vertical="center"/>
    </xf>
    <xf numFmtId="49" fontId="59" fillId="0" borderId="36" xfId="0" applyNumberFormat="1" applyFont="1" applyFill="1" applyBorder="1" applyAlignment="1">
      <alignment horizontal="center" vertical="center"/>
    </xf>
    <xf numFmtId="49" fontId="59" fillId="0" borderId="36" xfId="0" applyNumberFormat="1" applyFont="1" applyFill="1" applyBorder="1" applyAlignment="1">
      <alignment horizontal="center" vertical="center" wrapText="1"/>
    </xf>
    <xf numFmtId="182" fontId="59" fillId="0" borderId="36" xfId="3" applyNumberFormat="1" applyFont="1" applyFill="1" applyBorder="1" applyAlignment="1">
      <alignment horizontal="center" vertical="center"/>
    </xf>
    <xf numFmtId="182" fontId="59" fillId="3" borderId="36" xfId="0" applyNumberFormat="1" applyFont="1" applyFill="1" applyBorder="1" applyAlignment="1">
      <alignment horizontal="center" vertical="center"/>
    </xf>
    <xf numFmtId="49" fontId="59" fillId="0" borderId="16" xfId="0" applyNumberFormat="1" applyFont="1" applyFill="1" applyBorder="1" applyAlignment="1">
      <alignment horizontal="left" vertical="top" wrapText="1"/>
    </xf>
    <xf numFmtId="200" fontId="60" fillId="0" borderId="16" xfId="0" applyNumberFormat="1" applyFont="1" applyFill="1" applyBorder="1" applyAlignment="1">
      <alignment wrapText="1"/>
    </xf>
    <xf numFmtId="200" fontId="59" fillId="0" borderId="16" xfId="0" applyNumberFormat="1" applyFont="1" applyFill="1" applyBorder="1" applyAlignment="1">
      <alignment horizontal="center" vertical="center" wrapText="1"/>
    </xf>
    <xf numFmtId="49" fontId="59" fillId="0" borderId="16" xfId="0" applyNumberFormat="1" applyFont="1" applyFill="1" applyBorder="1" applyAlignment="1">
      <alignment horizontal="left"/>
    </xf>
    <xf numFmtId="178" fontId="59" fillId="0" borderId="27" xfId="0" applyNumberFormat="1" applyFont="1" applyFill="1" applyBorder="1" applyAlignment="1" applyProtection="1">
      <alignment horizontal="center" vertical="center"/>
      <protection locked="0"/>
    </xf>
    <xf numFmtId="200" fontId="59" fillId="0" borderId="49" xfId="0" applyNumberFormat="1" applyFont="1" applyFill="1" applyBorder="1" applyAlignment="1">
      <alignment wrapText="1"/>
    </xf>
    <xf numFmtId="200" fontId="59" fillId="0" borderId="49" xfId="0" applyNumberFormat="1" applyFont="1" applyFill="1" applyBorder="1" applyAlignment="1">
      <alignment horizontal="center" vertical="center" wrapText="1"/>
    </xf>
    <xf numFmtId="200" fontId="59" fillId="0" borderId="16" xfId="0" applyNumberFormat="1" applyFont="1" applyFill="1" applyBorder="1" applyAlignment="1">
      <alignment wrapText="1"/>
    </xf>
    <xf numFmtId="49" fontId="59" fillId="0" borderId="38" xfId="0" applyNumberFormat="1" applyFont="1" applyFill="1" applyBorder="1" applyAlignment="1">
      <alignment horizontal="center" vertical="center"/>
    </xf>
    <xf numFmtId="49" fontId="59" fillId="0" borderId="15" xfId="0" applyNumberFormat="1" applyFont="1" applyFill="1" applyBorder="1" applyAlignment="1">
      <alignment horizontal="center" vertical="center"/>
    </xf>
    <xf numFmtId="49" fontId="60" fillId="0" borderId="61" xfId="0" applyNumberFormat="1" applyFont="1" applyFill="1" applyBorder="1" applyAlignment="1">
      <alignment horizontal="left" vertical="center" wrapText="1"/>
    </xf>
    <xf numFmtId="49" fontId="59" fillId="0" borderId="62" xfId="0" applyNumberFormat="1" applyFont="1" applyFill="1" applyBorder="1" applyAlignment="1">
      <alignment vertical="center"/>
    </xf>
    <xf numFmtId="49" fontId="59" fillId="0" borderId="15" xfId="0" applyNumberFormat="1" applyFont="1" applyFill="1" applyBorder="1" applyAlignment="1">
      <alignment vertical="center"/>
    </xf>
    <xf numFmtId="49" fontId="59" fillId="0" borderId="58" xfId="0" applyNumberFormat="1" applyFont="1" applyFill="1" applyBorder="1" applyAlignment="1">
      <alignment horizontal="left" vertical="center" wrapText="1"/>
    </xf>
    <xf numFmtId="49" fontId="59" fillId="0" borderId="38" xfId="0" applyNumberFormat="1" applyFont="1" applyFill="1" applyBorder="1" applyAlignment="1">
      <alignment horizontal="center" vertical="center" wrapText="1"/>
    </xf>
    <xf numFmtId="182" fontId="59" fillId="0" borderId="57" xfId="3" applyNumberFormat="1" applyFont="1" applyFill="1" applyBorder="1" applyAlignment="1">
      <alignment horizontal="center" vertical="center"/>
    </xf>
    <xf numFmtId="182" fontId="59" fillId="0" borderId="38" xfId="3" applyNumberFormat="1" applyFont="1" applyFill="1" applyBorder="1" applyAlignment="1">
      <alignment horizontal="center" vertical="center"/>
    </xf>
    <xf numFmtId="49" fontId="59" fillId="3" borderId="2" xfId="0" applyNumberFormat="1" applyFont="1" applyFill="1" applyBorder="1" applyAlignment="1">
      <alignment horizontal="left" vertical="center" wrapText="1"/>
    </xf>
    <xf numFmtId="182" fontId="59" fillId="0" borderId="32" xfId="3" applyNumberFormat="1" applyFont="1" applyFill="1" applyBorder="1" applyAlignment="1">
      <alignment horizontal="center" vertical="center"/>
    </xf>
    <xf numFmtId="49" fontId="63" fillId="0" borderId="31" xfId="0" applyNumberFormat="1" applyFont="1" applyFill="1" applyBorder="1" applyAlignment="1">
      <alignment horizontal="center" vertical="center"/>
    </xf>
    <xf numFmtId="49" fontId="59" fillId="0" borderId="2" xfId="0" applyNumberFormat="1" applyFont="1" applyFill="1" applyBorder="1" applyAlignment="1">
      <alignment horizontal="left" vertical="center" wrapText="1"/>
    </xf>
    <xf numFmtId="0" fontId="40" fillId="0" borderId="0" xfId="0" applyFont="1" applyFill="1" applyBorder="1"/>
    <xf numFmtId="2" fontId="18" fillId="0" borderId="0" xfId="0" applyNumberFormat="1" applyFont="1" applyFill="1" applyBorder="1" applyAlignment="1">
      <alignment horizontal="left" vertical="top" wrapText="1"/>
    </xf>
    <xf numFmtId="182" fontId="18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49" fontId="18" fillId="0" borderId="65" xfId="0" applyNumberFormat="1" applyFont="1" applyFill="1" applyBorder="1" applyAlignment="1">
      <alignment horizontal="center" vertical="center"/>
    </xf>
    <xf numFmtId="2" fontId="18" fillId="0" borderId="59" xfId="0" applyNumberFormat="1" applyFont="1" applyFill="1" applyBorder="1" applyAlignment="1">
      <alignment horizontal="left" vertical="top" wrapText="1"/>
    </xf>
    <xf numFmtId="49" fontId="18" fillId="0" borderId="59" xfId="0" applyNumberFormat="1" applyFont="1" applyFill="1" applyBorder="1" applyAlignment="1">
      <alignment horizontal="center" vertical="center" wrapText="1"/>
    </xf>
    <xf numFmtId="182" fontId="18" fillId="0" borderId="59" xfId="0" applyNumberFormat="1" applyFont="1" applyFill="1" applyBorder="1" applyAlignment="1">
      <alignment horizontal="center" vertical="center" wrapText="1"/>
    </xf>
    <xf numFmtId="0" fontId="18" fillId="0" borderId="59" xfId="0" applyFont="1" applyFill="1" applyBorder="1" applyAlignment="1">
      <alignment horizontal="center" vertical="center" wrapText="1"/>
    </xf>
    <xf numFmtId="182" fontId="18" fillId="0" borderId="55" xfId="0" applyNumberFormat="1" applyFont="1" applyFill="1" applyBorder="1" applyAlignment="1">
      <alignment horizontal="center" vertical="center" wrapText="1"/>
    </xf>
    <xf numFmtId="182" fontId="18" fillId="0" borderId="59" xfId="3" applyNumberFormat="1" applyFont="1" applyFill="1" applyBorder="1" applyAlignment="1">
      <alignment horizontal="center" vertical="center"/>
    </xf>
    <xf numFmtId="49" fontId="18" fillId="0" borderId="59" xfId="3" applyNumberFormat="1" applyFont="1" applyFill="1" applyBorder="1" applyAlignment="1">
      <alignment horizontal="center" vertical="center"/>
    </xf>
    <xf numFmtId="182" fontId="18" fillId="0" borderId="55" xfId="3" applyNumberFormat="1" applyFont="1" applyFill="1" applyBorder="1" applyAlignment="1">
      <alignment horizontal="center" vertical="center"/>
    </xf>
    <xf numFmtId="49" fontId="18" fillId="0" borderId="61" xfId="0" applyNumberFormat="1" applyFont="1" applyFill="1" applyBorder="1" applyAlignment="1">
      <alignment horizontal="center" vertical="center" wrapText="1"/>
    </xf>
    <xf numFmtId="182" fontId="18" fillId="0" borderId="61" xfId="3" applyNumberFormat="1" applyFont="1" applyFill="1" applyBorder="1" applyAlignment="1">
      <alignment horizontal="center" vertical="center"/>
    </xf>
    <xf numFmtId="49" fontId="18" fillId="0" borderId="61" xfId="3" applyNumberFormat="1" applyFont="1" applyFill="1" applyBorder="1" applyAlignment="1">
      <alignment horizontal="center" vertical="center"/>
    </xf>
    <xf numFmtId="49" fontId="18" fillId="0" borderId="61" xfId="0" applyNumberFormat="1" applyFont="1" applyFill="1" applyBorder="1" applyAlignment="1">
      <alignment horizontal="center" vertical="center"/>
    </xf>
    <xf numFmtId="49" fontId="18" fillId="3" borderId="59" xfId="0" applyNumberFormat="1" applyFont="1" applyFill="1" applyBorder="1" applyAlignment="1">
      <alignment horizontal="left" vertical="top" wrapText="1"/>
    </xf>
    <xf numFmtId="49" fontId="18" fillId="3" borderId="61" xfId="0" applyNumberFormat="1" applyFont="1" applyFill="1" applyBorder="1" applyAlignment="1">
      <alignment horizontal="left" vertical="top" wrapText="1"/>
    </xf>
    <xf numFmtId="49" fontId="18" fillId="0" borderId="59" xfId="0" applyNumberFormat="1" applyFont="1" applyFill="1" applyBorder="1" applyAlignment="1">
      <alignment horizontal="left" vertical="center" wrapText="1"/>
    </xf>
    <xf numFmtId="49" fontId="18" fillId="0" borderId="61" xfId="0" applyNumberFormat="1" applyFont="1" applyFill="1" applyBorder="1" applyAlignment="1">
      <alignment horizontal="left" vertical="center" wrapText="1"/>
    </xf>
    <xf numFmtId="0" fontId="41" fillId="0" borderId="0" xfId="0" applyFont="1" applyFill="1" applyBorder="1"/>
    <xf numFmtId="1" fontId="18" fillId="0" borderId="59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59" xfId="0" applyNumberFormat="1" applyFont="1" applyFill="1" applyBorder="1" applyAlignment="1">
      <alignment horizontal="left"/>
    </xf>
    <xf numFmtId="1" fontId="18" fillId="0" borderId="55" xfId="0" applyNumberFormat="1" applyFont="1" applyFill="1" applyBorder="1" applyAlignment="1" applyProtection="1">
      <alignment horizontal="center" vertical="center" wrapText="1"/>
      <protection locked="0"/>
    </xf>
    <xf numFmtId="1" fontId="18" fillId="0" borderId="6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61" xfId="0" applyNumberFormat="1" applyFont="1" applyFill="1" applyBorder="1" applyAlignment="1">
      <alignment horizontal="left"/>
    </xf>
    <xf numFmtId="0" fontId="18" fillId="0" borderId="59" xfId="0" applyFont="1" applyFill="1" applyBorder="1" applyAlignment="1">
      <alignment vertical="center" wrapText="1"/>
    </xf>
    <xf numFmtId="49" fontId="18" fillId="0" borderId="59" xfId="0" applyNumberFormat="1" applyFont="1" applyFill="1" applyBorder="1" applyAlignment="1">
      <alignment horizontal="center"/>
    </xf>
    <xf numFmtId="0" fontId="18" fillId="0" borderId="61" xfId="0" applyFont="1" applyFill="1" applyBorder="1" applyAlignment="1">
      <alignment vertical="center" wrapText="1"/>
    </xf>
    <xf numFmtId="49" fontId="18" fillId="0" borderId="61" xfId="0" applyNumberFormat="1" applyFont="1" applyFill="1" applyBorder="1" applyAlignment="1">
      <alignment horizontal="center"/>
    </xf>
    <xf numFmtId="0" fontId="42" fillId="0" borderId="0" xfId="0" applyFont="1" applyFill="1" applyBorder="1" applyAlignment="1" applyProtection="1">
      <alignment vertical="center" wrapText="1"/>
      <protection locked="0"/>
    </xf>
    <xf numFmtId="49" fontId="19" fillId="0" borderId="59" xfId="0" applyNumberFormat="1" applyFont="1" applyFill="1" applyBorder="1" applyAlignment="1">
      <alignment horizontal="center" vertical="center"/>
    </xf>
    <xf numFmtId="178" fontId="18" fillId="0" borderId="59" xfId="0" applyNumberFormat="1" applyFont="1" applyFill="1" applyBorder="1" applyAlignment="1" applyProtection="1">
      <alignment horizontal="center" vertical="center"/>
      <protection locked="0"/>
    </xf>
    <xf numFmtId="49" fontId="19" fillId="0" borderId="61" xfId="0" applyNumberFormat="1" applyFont="1" applyFill="1" applyBorder="1" applyAlignment="1">
      <alignment horizontal="center" vertical="center"/>
    </xf>
    <xf numFmtId="178" fontId="18" fillId="0" borderId="61" xfId="0" applyNumberFormat="1" applyFont="1" applyFill="1" applyBorder="1" applyAlignment="1" applyProtection="1">
      <alignment horizontal="center" vertical="center"/>
      <protection locked="0"/>
    </xf>
    <xf numFmtId="49" fontId="59" fillId="0" borderId="61" xfId="0" applyNumberFormat="1" applyFont="1" applyFill="1" applyBorder="1" applyAlignment="1">
      <alignment horizontal="center" vertical="center"/>
    </xf>
    <xf numFmtId="0" fontId="56" fillId="0" borderId="31" xfId="0" applyFont="1" applyFill="1" applyBorder="1" applyAlignment="1" applyProtection="1">
      <alignment horizontal="center" vertical="center" wrapText="1"/>
      <protection locked="0"/>
    </xf>
    <xf numFmtId="182" fontId="59" fillId="0" borderId="61" xfId="3" applyNumberFormat="1" applyFont="1" applyFill="1" applyBorder="1" applyAlignment="1">
      <alignment horizontal="center" vertical="center"/>
    </xf>
    <xf numFmtId="0" fontId="56" fillId="0" borderId="50" xfId="0" applyFont="1" applyFill="1" applyBorder="1" applyAlignment="1" applyProtection="1">
      <alignment horizontal="center" vertical="center" wrapText="1"/>
      <protection locked="0"/>
    </xf>
    <xf numFmtId="49" fontId="60" fillId="0" borderId="16" xfId="0" applyNumberFormat="1" applyFont="1" applyFill="1" applyBorder="1" applyAlignment="1">
      <alignment horizontal="left" vertical="top" wrapText="1"/>
    </xf>
    <xf numFmtId="49" fontId="59" fillId="0" borderId="26" xfId="0" applyNumberFormat="1" applyFont="1" applyFill="1" applyBorder="1" applyAlignment="1">
      <alignment horizontal="center" vertical="center"/>
    </xf>
    <xf numFmtId="182" fontId="59" fillId="0" borderId="59" xfId="3" applyNumberFormat="1" applyFont="1" applyFill="1" applyBorder="1" applyAlignment="1">
      <alignment horizontal="center" vertical="center"/>
    </xf>
    <xf numFmtId="49" fontId="59" fillId="0" borderId="36" xfId="0" applyNumberFormat="1" applyFont="1" applyFill="1" applyBorder="1" applyAlignment="1" applyProtection="1">
      <alignment horizontal="center" vertical="center"/>
      <protection locked="0"/>
    </xf>
    <xf numFmtId="49" fontId="59" fillId="0" borderId="35" xfId="0" applyNumberFormat="1" applyFont="1" applyFill="1" applyBorder="1" applyAlignment="1">
      <alignment horizontal="left" vertical="center" wrapText="1"/>
    </xf>
    <xf numFmtId="1" fontId="59" fillId="0" borderId="49" xfId="0" applyNumberFormat="1" applyFont="1" applyFill="1" applyBorder="1" applyAlignment="1">
      <alignment horizontal="center" vertical="center"/>
    </xf>
    <xf numFmtId="49" fontId="59" fillId="0" borderId="65" xfId="0" applyNumberFormat="1" applyFont="1" applyFill="1" applyBorder="1" applyAlignment="1">
      <alignment horizontal="center" vertical="center"/>
    </xf>
    <xf numFmtId="49" fontId="59" fillId="0" borderId="59" xfId="0" applyNumberFormat="1" applyFont="1" applyFill="1" applyBorder="1" applyAlignment="1">
      <alignment horizontal="left" vertical="center" wrapText="1"/>
    </xf>
    <xf numFmtId="182" fontId="59" fillId="0" borderId="59" xfId="0" applyNumberFormat="1" applyFont="1" applyFill="1" applyBorder="1" applyAlignment="1">
      <alignment horizontal="center" vertical="center" wrapText="1"/>
    </xf>
    <xf numFmtId="49" fontId="59" fillId="0" borderId="59" xfId="0" applyNumberFormat="1" applyFont="1" applyFill="1" applyBorder="1" applyAlignment="1">
      <alignment horizontal="center" vertical="center" wrapText="1"/>
    </xf>
    <xf numFmtId="49" fontId="59" fillId="0" borderId="59" xfId="0" applyNumberFormat="1" applyFont="1" applyFill="1" applyBorder="1" applyAlignment="1" applyProtection="1">
      <alignment horizontal="center" vertical="center"/>
      <protection locked="0"/>
    </xf>
    <xf numFmtId="49" fontId="59" fillId="0" borderId="61" xfId="0" applyNumberFormat="1" applyFont="1" applyFill="1" applyBorder="1" applyAlignment="1">
      <alignment horizontal="left" vertical="center" wrapText="1"/>
    </xf>
    <xf numFmtId="182" fontId="59" fillId="0" borderId="61" xfId="0" applyNumberFormat="1" applyFont="1" applyFill="1" applyBorder="1" applyAlignment="1">
      <alignment horizontal="center" vertical="center" wrapText="1"/>
    </xf>
    <xf numFmtId="49" fontId="59" fillId="0" borderId="61" xfId="0" applyNumberFormat="1" applyFont="1" applyFill="1" applyBorder="1" applyAlignment="1">
      <alignment horizontal="center" vertical="center" wrapText="1"/>
    </xf>
    <xf numFmtId="49" fontId="59" fillId="0" borderId="61" xfId="0" applyNumberFormat="1" applyFont="1" applyFill="1" applyBorder="1" applyAlignment="1" applyProtection="1">
      <alignment horizontal="center" vertical="center"/>
      <protection locked="0"/>
    </xf>
    <xf numFmtId="182" fontId="59" fillId="0" borderId="31" xfId="0" applyNumberFormat="1" applyFont="1" applyFill="1" applyBorder="1" applyAlignment="1">
      <alignment horizontal="center" vertical="center" wrapText="1"/>
    </xf>
    <xf numFmtId="182" fontId="59" fillId="0" borderId="59" xfId="0" applyNumberFormat="1" applyFont="1" applyFill="1" applyBorder="1" applyAlignment="1" applyProtection="1">
      <alignment horizontal="center" vertical="center"/>
      <protection locked="0"/>
    </xf>
    <xf numFmtId="182" fontId="59" fillId="0" borderId="61" xfId="0" applyNumberFormat="1" applyFont="1" applyFill="1" applyBorder="1" applyAlignment="1" applyProtection="1">
      <alignment horizontal="center" vertical="center"/>
      <protection locked="0"/>
    </xf>
    <xf numFmtId="2" fontId="59" fillId="0" borderId="31" xfId="0" quotePrefix="1" applyNumberFormat="1" applyFont="1" applyFill="1" applyBorder="1" applyAlignment="1">
      <alignment horizontal="left" vertical="top" wrapText="1"/>
    </xf>
    <xf numFmtId="49" fontId="59" fillId="0" borderId="67" xfId="0" applyNumberFormat="1" applyFont="1" applyFill="1" applyBorder="1" applyAlignment="1">
      <alignment horizontal="center" vertical="center" wrapText="1"/>
    </xf>
    <xf numFmtId="182" fontId="59" fillId="3" borderId="31" xfId="0" applyNumberFormat="1" applyFont="1" applyFill="1" applyBorder="1" applyAlignment="1">
      <alignment horizontal="center" vertical="center"/>
    </xf>
    <xf numFmtId="182" fontId="59" fillId="0" borderId="37" xfId="3" applyNumberFormat="1" applyFont="1" applyFill="1" applyBorder="1" applyAlignment="1">
      <alignment horizontal="center" vertical="center"/>
    </xf>
    <xf numFmtId="0" fontId="18" fillId="0" borderId="0" xfId="0" applyFont="1" applyBorder="1"/>
    <xf numFmtId="0" fontId="18" fillId="0" borderId="52" xfId="0" applyFont="1" applyBorder="1"/>
    <xf numFmtId="0" fontId="18" fillId="0" borderId="56" xfId="0" applyFont="1" applyBorder="1"/>
    <xf numFmtId="0" fontId="18" fillId="0" borderId="65" xfId="0" applyFont="1" applyBorder="1"/>
    <xf numFmtId="0" fontId="18" fillId="0" borderId="59" xfId="0" applyFont="1" applyBorder="1"/>
    <xf numFmtId="0" fontId="18" fillId="0" borderId="55" xfId="0" applyFont="1" applyBorder="1"/>
    <xf numFmtId="0" fontId="18" fillId="0" borderId="61" xfId="0" applyFont="1" applyBorder="1"/>
    <xf numFmtId="49" fontId="59" fillId="0" borderId="26" xfId="0" applyNumberFormat="1" applyFont="1" applyFill="1" applyBorder="1" applyAlignment="1">
      <alignment horizontal="left" vertical="center" wrapText="1"/>
    </xf>
    <xf numFmtId="178" fontId="59" fillId="0" borderId="36" xfId="0" applyNumberFormat="1" applyFont="1" applyFill="1" applyBorder="1" applyAlignment="1" applyProtection="1">
      <alignment horizontal="center" vertical="center"/>
      <protection locked="0"/>
    </xf>
    <xf numFmtId="178" fontId="59" fillId="0" borderId="16" xfId="0" applyNumberFormat="1" applyFont="1" applyFill="1" applyBorder="1" applyAlignment="1" applyProtection="1">
      <alignment horizontal="center" vertical="center"/>
      <protection locked="0"/>
    </xf>
    <xf numFmtId="2" fontId="59" fillId="0" borderId="0" xfId="0" applyNumberFormat="1" applyFont="1" applyFill="1" applyBorder="1" applyAlignment="1">
      <alignment horizontal="left" vertical="center" wrapText="1"/>
    </xf>
    <xf numFmtId="49" fontId="59" fillId="3" borderId="49" xfId="0" applyNumberFormat="1" applyFont="1" applyFill="1" applyBorder="1" applyAlignment="1">
      <alignment horizontal="center" vertical="center" wrapText="1"/>
    </xf>
    <xf numFmtId="182" fontId="59" fillId="3" borderId="56" xfId="3" applyNumberFormat="1" applyFont="1" applyFill="1" applyBorder="1" applyAlignment="1">
      <alignment horizontal="center" vertical="center"/>
    </xf>
    <xf numFmtId="178" fontId="59" fillId="3" borderId="49" xfId="0" applyNumberFormat="1" applyFont="1" applyFill="1" applyBorder="1" applyAlignment="1" applyProtection="1">
      <alignment horizontal="center" vertical="center"/>
      <protection locked="0"/>
    </xf>
    <xf numFmtId="49" fontId="18" fillId="0" borderId="65" xfId="0" applyNumberFormat="1" applyFont="1" applyFill="1" applyBorder="1" applyAlignment="1">
      <alignment horizontal="center" vertical="center" wrapText="1"/>
    </xf>
    <xf numFmtId="2" fontId="59" fillId="0" borderId="36" xfId="0" quotePrefix="1" applyNumberFormat="1" applyFont="1" applyFill="1" applyBorder="1" applyAlignment="1">
      <alignment horizontal="left" vertical="top" wrapText="1"/>
    </xf>
    <xf numFmtId="49" fontId="59" fillId="0" borderId="68" xfId="0" applyNumberFormat="1" applyFont="1" applyFill="1" applyBorder="1" applyAlignment="1">
      <alignment horizontal="center" vertical="center" wrapText="1"/>
    </xf>
    <xf numFmtId="49" fontId="59" fillId="0" borderId="0" xfId="0" applyNumberFormat="1" applyFont="1" applyFill="1" applyBorder="1" applyAlignment="1">
      <alignment horizontal="left" vertical="center" wrapText="1"/>
    </xf>
    <xf numFmtId="49" fontId="59" fillId="0" borderId="49" xfId="0" applyNumberFormat="1" applyFont="1" applyFill="1" applyBorder="1" applyAlignment="1">
      <alignment horizontal="center" vertical="center" wrapText="1"/>
    </xf>
    <xf numFmtId="182" fontId="59" fillId="0" borderId="56" xfId="3" applyNumberFormat="1" applyFont="1" applyFill="1" applyBorder="1" applyAlignment="1">
      <alignment horizontal="center" vertical="center"/>
    </xf>
    <xf numFmtId="49" fontId="63" fillId="0" borderId="49" xfId="0" applyNumberFormat="1" applyFont="1" applyFill="1" applyBorder="1" applyAlignment="1">
      <alignment horizontal="center" vertical="center"/>
    </xf>
    <xf numFmtId="49" fontId="64" fillId="0" borderId="5" xfId="0" applyNumberFormat="1" applyFont="1" applyFill="1" applyBorder="1" applyAlignment="1">
      <alignment horizontal="center" vertical="center"/>
    </xf>
    <xf numFmtId="49" fontId="64" fillId="0" borderId="5" xfId="0" applyNumberFormat="1" applyFont="1" applyFill="1" applyBorder="1" applyAlignment="1">
      <alignment wrapText="1"/>
    </xf>
    <xf numFmtId="49" fontId="64" fillId="0" borderId="5" xfId="0" applyNumberFormat="1" applyFont="1" applyFill="1" applyBorder="1" applyAlignment="1">
      <alignment horizontal="center"/>
    </xf>
    <xf numFmtId="178" fontId="64" fillId="0" borderId="5" xfId="0" applyNumberFormat="1" applyFont="1" applyFill="1" applyBorder="1" applyAlignment="1" applyProtection="1">
      <alignment horizontal="center" vertical="center"/>
      <protection locked="0"/>
    </xf>
    <xf numFmtId="2" fontId="64" fillId="0" borderId="5" xfId="0" applyNumberFormat="1" applyFont="1" applyFill="1" applyBorder="1" applyProtection="1">
      <protection locked="0"/>
    </xf>
    <xf numFmtId="0" fontId="64" fillId="0" borderId="5" xfId="0" applyFont="1" applyFill="1" applyBorder="1" applyAlignment="1">
      <alignment horizontal="center" vertical="center" wrapText="1"/>
    </xf>
    <xf numFmtId="0" fontId="55" fillId="0" borderId="0" xfId="0" applyFont="1" applyBorder="1"/>
    <xf numFmtId="0" fontId="65" fillId="0" borderId="0" xfId="0" applyFont="1" applyBorder="1"/>
    <xf numFmtId="49" fontId="66" fillId="0" borderId="15" xfId="0" applyNumberFormat="1" applyFont="1" applyFill="1" applyBorder="1" applyAlignment="1">
      <alignment horizontal="center" vertical="center"/>
    </xf>
    <xf numFmtId="49" fontId="66" fillId="0" borderId="15" xfId="0" applyNumberFormat="1" applyFont="1" applyFill="1" applyBorder="1" applyAlignment="1">
      <alignment wrapText="1"/>
    </xf>
    <xf numFmtId="49" fontId="66" fillId="0" borderId="15" xfId="0" applyNumberFormat="1" applyFont="1" applyFill="1" applyBorder="1" applyAlignment="1">
      <alignment horizontal="center"/>
    </xf>
    <xf numFmtId="49" fontId="64" fillId="0" borderId="16" xfId="0" applyNumberFormat="1" applyFont="1" applyFill="1" applyBorder="1" applyAlignment="1">
      <alignment horizontal="center" vertical="center"/>
    </xf>
    <xf numFmtId="49" fontId="64" fillId="0" borderId="16" xfId="0" applyNumberFormat="1" applyFont="1" applyFill="1" applyBorder="1" applyAlignment="1">
      <alignment wrapText="1"/>
    </xf>
    <xf numFmtId="49" fontId="64" fillId="0" borderId="16" xfId="0" applyNumberFormat="1" applyFont="1" applyFill="1" applyBorder="1" applyAlignment="1">
      <alignment horizontal="center"/>
    </xf>
    <xf numFmtId="0" fontId="55" fillId="0" borderId="0" xfId="0" applyFont="1"/>
    <xf numFmtId="0" fontId="67" fillId="0" borderId="0" xfId="0" applyFont="1" applyFill="1" applyBorder="1" applyAlignment="1" applyProtection="1">
      <alignment vertical="center" wrapText="1"/>
      <protection locked="0"/>
    </xf>
    <xf numFmtId="182" fontId="67" fillId="0" borderId="0" xfId="0" applyNumberFormat="1" applyFont="1" applyFill="1" applyBorder="1" applyAlignment="1" applyProtection="1">
      <alignment vertical="center" wrapText="1"/>
      <protection locked="0"/>
    </xf>
    <xf numFmtId="183" fontId="21" fillId="0" borderId="0" xfId="0" applyNumberFormat="1" applyFont="1" applyFill="1" applyBorder="1" applyAlignment="1" applyProtection="1">
      <alignment horizontal="left" vertical="center" wrapText="1"/>
      <protection locked="0"/>
    </xf>
    <xf numFmtId="183" fontId="0" fillId="0" borderId="0" xfId="0" applyNumberFormat="1" applyBorder="1"/>
    <xf numFmtId="182" fontId="59" fillId="0" borderId="31" xfId="3" quotePrefix="1" applyNumberFormat="1" applyFont="1" applyFill="1" applyBorder="1" applyAlignment="1">
      <alignment horizontal="center" vertical="center"/>
    </xf>
    <xf numFmtId="49" fontId="18" fillId="0" borderId="36" xfId="3" applyNumberFormat="1" applyFont="1" applyFill="1" applyBorder="1" applyAlignment="1">
      <alignment horizontal="center" vertical="center"/>
    </xf>
    <xf numFmtId="49" fontId="59" fillId="0" borderId="55" xfId="0" applyNumberFormat="1" applyFont="1" applyFill="1" applyBorder="1" applyAlignment="1">
      <alignment horizontal="center" vertical="center" wrapText="1"/>
    </xf>
    <xf numFmtId="182" fontId="59" fillId="0" borderId="55" xfId="3" applyNumberFormat="1" applyFont="1" applyFill="1" applyBorder="1" applyAlignment="1">
      <alignment horizontal="center" vertical="center"/>
    </xf>
    <xf numFmtId="49" fontId="66" fillId="0" borderId="31" xfId="0" applyNumberFormat="1" applyFont="1" applyFill="1" applyBorder="1" applyAlignment="1">
      <alignment horizontal="center" vertical="center"/>
    </xf>
    <xf numFmtId="0" fontId="66" fillId="0" borderId="2" xfId="0" applyNumberFormat="1" applyFont="1" applyFill="1" applyBorder="1" applyAlignment="1">
      <alignment horizontal="left" vertical="center" wrapText="1"/>
    </xf>
    <xf numFmtId="49" fontId="66" fillId="0" borderId="31" xfId="0" applyNumberFormat="1" applyFont="1" applyFill="1" applyBorder="1" applyAlignment="1">
      <alignment horizontal="center" vertical="center" wrapText="1"/>
    </xf>
    <xf numFmtId="182" fontId="66" fillId="0" borderId="31" xfId="3" applyNumberFormat="1" applyFont="1" applyFill="1" applyBorder="1" applyAlignment="1">
      <alignment horizontal="center" vertical="center"/>
    </xf>
    <xf numFmtId="49" fontId="66" fillId="0" borderId="31" xfId="0" applyNumberFormat="1" applyFont="1" applyFill="1" applyBorder="1" applyAlignment="1">
      <alignment horizontal="center"/>
    </xf>
    <xf numFmtId="49" fontId="66" fillId="0" borderId="36" xfId="0" applyNumberFormat="1" applyFont="1" applyFill="1" applyBorder="1" applyAlignment="1">
      <alignment horizontal="center" vertical="center"/>
    </xf>
    <xf numFmtId="49" fontId="66" fillId="0" borderId="36" xfId="0" applyNumberFormat="1" applyFont="1" applyFill="1" applyBorder="1" applyAlignment="1">
      <alignment wrapText="1"/>
    </xf>
    <xf numFmtId="49" fontId="66" fillId="0" borderId="36" xfId="0" applyNumberFormat="1" applyFont="1" applyFill="1" applyBorder="1" applyAlignment="1">
      <alignment horizontal="center"/>
    </xf>
    <xf numFmtId="49" fontId="18" fillId="0" borderId="69" xfId="0" applyNumberFormat="1" applyFont="1" applyFill="1" applyBorder="1" applyAlignment="1">
      <alignment horizontal="center" vertical="center" wrapText="1"/>
    </xf>
    <xf numFmtId="49" fontId="18" fillId="0" borderId="52" xfId="0" applyNumberFormat="1" applyFont="1" applyFill="1" applyBorder="1" applyAlignment="1">
      <alignment horizontal="center" vertical="center" wrapText="1"/>
    </xf>
    <xf numFmtId="49" fontId="18" fillId="0" borderId="50" xfId="0" applyNumberFormat="1" applyFont="1" applyFill="1" applyBorder="1" applyAlignment="1">
      <alignment horizontal="center" vertical="center" wrapText="1"/>
    </xf>
    <xf numFmtId="49" fontId="18" fillId="0" borderId="54" xfId="0" applyNumberFormat="1" applyFont="1" applyFill="1" applyBorder="1" applyAlignment="1">
      <alignment horizontal="center" vertical="center" wrapText="1"/>
    </xf>
    <xf numFmtId="49" fontId="58" fillId="4" borderId="16" xfId="0" applyNumberFormat="1" applyFont="1" applyFill="1" applyBorder="1" applyAlignment="1">
      <alignment horizontal="center" vertical="center"/>
    </xf>
    <xf numFmtId="49" fontId="58" fillId="4" borderId="26" xfId="0" applyNumberFormat="1" applyFont="1" applyFill="1" applyBorder="1" applyAlignment="1">
      <alignment horizontal="left" vertical="center" wrapText="1"/>
    </xf>
    <xf numFmtId="49" fontId="58" fillId="4" borderId="31" xfId="0" applyNumberFormat="1" applyFont="1" applyFill="1" applyBorder="1" applyAlignment="1">
      <alignment horizontal="center" vertical="center" wrapText="1"/>
    </xf>
    <xf numFmtId="182" fontId="58" fillId="4" borderId="27" xfId="3" applyNumberFormat="1" applyFont="1" applyFill="1" applyBorder="1" applyAlignment="1">
      <alignment horizontal="center" vertical="center"/>
    </xf>
    <xf numFmtId="49" fontId="58" fillId="4" borderId="16" xfId="0" applyNumberFormat="1" applyFont="1" applyFill="1" applyBorder="1" applyAlignment="1">
      <alignment horizontal="center"/>
    </xf>
    <xf numFmtId="182" fontId="58" fillId="4" borderId="16" xfId="3" applyNumberFormat="1" applyFont="1" applyFill="1" applyBorder="1" applyAlignment="1">
      <alignment horizontal="center" vertical="center"/>
    </xf>
    <xf numFmtId="182" fontId="18" fillId="4" borderId="27" xfId="3" applyNumberFormat="1" applyFont="1" applyFill="1" applyBorder="1" applyAlignment="1">
      <alignment horizontal="center" vertical="center"/>
    </xf>
    <xf numFmtId="182" fontId="59" fillId="4" borderId="16" xfId="3" applyNumberFormat="1" applyFont="1" applyFill="1" applyBorder="1" applyAlignment="1">
      <alignment horizontal="center" vertical="center"/>
    </xf>
    <xf numFmtId="182" fontId="59" fillId="4" borderId="27" xfId="3" applyNumberFormat="1" applyFont="1" applyFill="1" applyBorder="1" applyAlignment="1">
      <alignment horizontal="center" vertical="center"/>
    </xf>
    <xf numFmtId="182" fontId="68" fillId="0" borderId="32" xfId="3" applyNumberFormat="1" applyFont="1" applyFill="1" applyBorder="1" applyAlignment="1">
      <alignment horizontal="center" vertical="center"/>
    </xf>
    <xf numFmtId="49" fontId="68" fillId="0" borderId="62" xfId="0" applyNumberFormat="1" applyFont="1" applyFill="1" applyBorder="1" applyAlignment="1">
      <alignment vertical="center"/>
    </xf>
    <xf numFmtId="182" fontId="68" fillId="0" borderId="57" xfId="3" applyNumberFormat="1" applyFont="1" applyFill="1" applyBorder="1" applyAlignment="1">
      <alignment horizontal="center" vertical="center"/>
    </xf>
    <xf numFmtId="182" fontId="68" fillId="0" borderId="16" xfId="3" applyNumberFormat="1" applyFont="1" applyFill="1" applyBorder="1" applyAlignment="1">
      <alignment horizontal="center" vertical="center"/>
    </xf>
    <xf numFmtId="182" fontId="68" fillId="0" borderId="37" xfId="3" applyNumberFormat="1" applyFont="1" applyFill="1" applyBorder="1" applyAlignment="1">
      <alignment horizontal="center" vertical="center"/>
    </xf>
    <xf numFmtId="182" fontId="68" fillId="3" borderId="56" xfId="3" applyNumberFormat="1" applyFont="1" applyFill="1" applyBorder="1" applyAlignment="1">
      <alignment horizontal="center" vertical="center"/>
    </xf>
    <xf numFmtId="49" fontId="68" fillId="0" borderId="13" xfId="0" applyNumberFormat="1" applyFont="1" applyFill="1" applyBorder="1" applyAlignment="1">
      <alignment vertical="center"/>
    </xf>
    <xf numFmtId="49" fontId="59" fillId="0" borderId="16" xfId="3" applyNumberFormat="1" applyFont="1" applyFill="1" applyBorder="1" applyAlignment="1">
      <alignment horizontal="center" vertical="center"/>
    </xf>
    <xf numFmtId="49" fontId="59" fillId="0" borderId="49" xfId="3" applyNumberFormat="1" applyFont="1" applyFill="1" applyBorder="1" applyAlignment="1">
      <alignment horizontal="center" vertical="center"/>
    </xf>
    <xf numFmtId="49" fontId="59" fillId="0" borderId="31" xfId="3" applyNumberFormat="1" applyFont="1" applyFill="1" applyBorder="1" applyAlignment="1">
      <alignment horizontal="center" vertical="center"/>
    </xf>
    <xf numFmtId="182" fontId="58" fillId="0" borderId="2" xfId="3" applyNumberFormat="1" applyFont="1" applyFill="1" applyBorder="1" applyAlignment="1">
      <alignment horizontal="center" vertical="center"/>
    </xf>
    <xf numFmtId="182" fontId="58" fillId="0" borderId="31" xfId="3" applyNumberFormat="1" applyFont="1" applyFill="1" applyBorder="1" applyAlignment="1">
      <alignment horizontal="center" vertical="center"/>
    </xf>
    <xf numFmtId="49" fontId="16" fillId="3" borderId="0" xfId="0" applyNumberFormat="1" applyFont="1" applyFill="1" applyBorder="1" applyAlignment="1">
      <alignment horizontal="left" vertical="center" wrapText="1"/>
    </xf>
    <xf numFmtId="182" fontId="16" fillId="0" borderId="49" xfId="0" applyNumberFormat="1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182" fontId="68" fillId="0" borderId="59" xfId="3" applyNumberFormat="1" applyFont="1" applyFill="1" applyBorder="1" applyAlignment="1">
      <alignment horizontal="center" vertical="center"/>
    </xf>
    <xf numFmtId="182" fontId="68" fillId="0" borderId="61" xfId="3" applyNumberFormat="1" applyFont="1" applyFill="1" applyBorder="1" applyAlignment="1">
      <alignment horizontal="center" vertical="center"/>
    </xf>
    <xf numFmtId="49" fontId="18" fillId="3" borderId="49" xfId="0" applyNumberFormat="1" applyFont="1" applyFill="1" applyBorder="1" applyAlignment="1">
      <alignment horizontal="left" vertical="top" wrapText="1"/>
    </xf>
    <xf numFmtId="49" fontId="14" fillId="0" borderId="52" xfId="0" applyNumberFormat="1" applyFont="1" applyFill="1" applyBorder="1" applyAlignment="1">
      <alignment horizontal="center" vertical="center" wrapText="1"/>
    </xf>
    <xf numFmtId="49" fontId="12" fillId="0" borderId="52" xfId="0" applyNumberFormat="1" applyFont="1" applyFill="1" applyBorder="1" applyAlignment="1">
      <alignment horizontal="center" vertical="center" wrapText="1"/>
    </xf>
    <xf numFmtId="49" fontId="59" fillId="0" borderId="15" xfId="0" applyNumberFormat="1" applyFont="1" applyFill="1" applyBorder="1" applyAlignment="1">
      <alignment horizontal="left" vertical="center" wrapText="1"/>
    </xf>
    <xf numFmtId="182" fontId="59" fillId="0" borderId="15" xfId="0" applyNumberFormat="1" applyFont="1" applyFill="1" applyBorder="1" applyAlignment="1">
      <alignment horizontal="center" vertical="center"/>
    </xf>
    <xf numFmtId="182" fontId="59" fillId="0" borderId="15" xfId="0" applyNumberFormat="1" applyFont="1" applyFill="1" applyBorder="1" applyAlignment="1" applyProtection="1">
      <alignment horizontal="center" vertical="center"/>
      <protection locked="0"/>
    </xf>
    <xf numFmtId="49" fontId="18" fillId="0" borderId="2" xfId="0" applyNumberFormat="1" applyFont="1" applyFill="1" applyBorder="1" applyAlignment="1">
      <alignment horizontal="center" vertical="center" wrapText="1"/>
    </xf>
    <xf numFmtId="49" fontId="18" fillId="3" borderId="70" xfId="0" applyNumberFormat="1" applyFont="1" applyFill="1" applyBorder="1" applyAlignment="1">
      <alignment horizontal="left" vertical="center" wrapText="1"/>
    </xf>
    <xf numFmtId="49" fontId="18" fillId="3" borderId="59" xfId="0" applyNumberFormat="1" applyFont="1" applyFill="1" applyBorder="1" applyAlignment="1">
      <alignment wrapText="1"/>
    </xf>
    <xf numFmtId="49" fontId="19" fillId="0" borderId="59" xfId="0" applyNumberFormat="1" applyFont="1" applyFill="1" applyBorder="1" applyAlignment="1">
      <alignment horizontal="center"/>
    </xf>
    <xf numFmtId="49" fontId="18" fillId="3" borderId="61" xfId="0" applyNumberFormat="1" applyFont="1" applyFill="1" applyBorder="1" applyAlignment="1">
      <alignment wrapText="1"/>
    </xf>
    <xf numFmtId="49" fontId="19" fillId="0" borderId="61" xfId="0" applyNumberFormat="1" applyFont="1" applyFill="1" applyBorder="1" applyAlignment="1">
      <alignment horizontal="center"/>
    </xf>
    <xf numFmtId="0" fontId="18" fillId="3" borderId="49" xfId="0" applyFont="1" applyFill="1" applyBorder="1" applyAlignment="1">
      <alignment vertical="center" wrapText="1"/>
    </xf>
    <xf numFmtId="2" fontId="18" fillId="3" borderId="59" xfId="0" applyNumberFormat="1" applyFont="1" applyFill="1" applyBorder="1" applyAlignment="1">
      <alignment horizontal="left" vertical="top" wrapText="1"/>
    </xf>
    <xf numFmtId="49" fontId="14" fillId="0" borderId="59" xfId="0" applyNumberFormat="1" applyFont="1" applyFill="1" applyBorder="1" applyAlignment="1">
      <alignment horizontal="center" vertical="center" wrapText="1"/>
    </xf>
    <xf numFmtId="2" fontId="18" fillId="3" borderId="61" xfId="0" applyNumberFormat="1" applyFont="1" applyFill="1" applyBorder="1" applyAlignment="1">
      <alignment horizontal="left" vertical="top" wrapText="1"/>
    </xf>
    <xf numFmtId="49" fontId="14" fillId="0" borderId="61" xfId="0" applyNumberFormat="1" applyFont="1" applyFill="1" applyBorder="1" applyAlignment="1">
      <alignment horizontal="center" vertical="center" wrapText="1"/>
    </xf>
    <xf numFmtId="1" fontId="59" fillId="0" borderId="16" xfId="0" applyNumberFormat="1" applyFont="1" applyFill="1" applyBorder="1" applyAlignment="1">
      <alignment horizontal="center" vertical="center"/>
    </xf>
    <xf numFmtId="1" fontId="59" fillId="0" borderId="59" xfId="0" applyNumberFormat="1" applyFont="1" applyFill="1" applyBorder="1" applyAlignment="1">
      <alignment horizontal="center" vertical="center"/>
    </xf>
    <xf numFmtId="1" fontId="59" fillId="0" borderId="55" xfId="0" applyNumberFormat="1" applyFont="1" applyFill="1" applyBorder="1" applyAlignment="1">
      <alignment horizontal="center" vertical="center"/>
    </xf>
    <xf numFmtId="1" fontId="59" fillId="0" borderId="61" xfId="0" applyNumberFormat="1" applyFont="1" applyFill="1" applyBorder="1" applyAlignment="1">
      <alignment horizontal="center" vertical="center"/>
    </xf>
    <xf numFmtId="49" fontId="59" fillId="0" borderId="59" xfId="0" applyNumberFormat="1" applyFont="1" applyFill="1" applyBorder="1" applyAlignment="1">
      <alignment horizontal="left" vertical="top" wrapText="1"/>
    </xf>
    <xf numFmtId="49" fontId="59" fillId="0" borderId="59" xfId="0" applyNumberFormat="1" applyFont="1" applyFill="1" applyBorder="1" applyAlignment="1">
      <alignment horizontal="left"/>
    </xf>
    <xf numFmtId="1" fontId="59" fillId="0" borderId="59" xfId="0" applyNumberFormat="1" applyFont="1" applyFill="1" applyBorder="1" applyAlignment="1" applyProtection="1">
      <alignment horizontal="center" vertical="center"/>
      <protection locked="0"/>
    </xf>
    <xf numFmtId="49" fontId="59" fillId="0" borderId="61" xfId="0" applyNumberFormat="1" applyFont="1" applyFill="1" applyBorder="1" applyAlignment="1">
      <alignment horizontal="left" vertical="top" wrapText="1"/>
    </xf>
    <xf numFmtId="49" fontId="59" fillId="0" borderId="61" xfId="0" applyNumberFormat="1" applyFont="1" applyFill="1" applyBorder="1" applyAlignment="1">
      <alignment horizontal="left"/>
    </xf>
    <xf numFmtId="1" fontId="59" fillId="0" borderId="61" xfId="0" applyNumberFormat="1" applyFont="1" applyFill="1" applyBorder="1" applyAlignment="1" applyProtection="1">
      <alignment horizontal="center" vertical="center"/>
      <protection locked="0"/>
    </xf>
    <xf numFmtId="182" fontId="59" fillId="3" borderId="31" xfId="3" applyNumberFormat="1" applyFont="1" applyFill="1" applyBorder="1" applyAlignment="1">
      <alignment horizontal="center" vertical="center"/>
    </xf>
    <xf numFmtId="182" fontId="59" fillId="3" borderId="60" xfId="3" applyNumberFormat="1" applyFont="1" applyFill="1" applyBorder="1" applyAlignment="1">
      <alignment horizontal="center" vertical="center"/>
    </xf>
    <xf numFmtId="182" fontId="59" fillId="0" borderId="36" xfId="0" applyNumberFormat="1" applyFont="1" applyFill="1" applyBorder="1" applyAlignment="1" applyProtection="1">
      <alignment horizontal="center" vertical="center"/>
      <protection locked="0"/>
    </xf>
    <xf numFmtId="182" fontId="59" fillId="0" borderId="55" xfId="0" applyNumberFormat="1" applyFont="1" applyFill="1" applyBorder="1" applyAlignment="1" applyProtection="1">
      <alignment horizontal="center" vertical="center"/>
      <protection locked="0"/>
    </xf>
    <xf numFmtId="0" fontId="18" fillId="0" borderId="71" xfId="0" applyFont="1" applyBorder="1"/>
    <xf numFmtId="0" fontId="18" fillId="0" borderId="51" xfId="0" applyFont="1" applyBorder="1"/>
    <xf numFmtId="0" fontId="18" fillId="0" borderId="13" xfId="0" applyFont="1" applyBorder="1"/>
    <xf numFmtId="182" fontId="58" fillId="0" borderId="16" xfId="3" applyNumberFormat="1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 vertical="center" wrapText="1"/>
    </xf>
    <xf numFmtId="0" fontId="18" fillId="3" borderId="71" xfId="0" applyFont="1" applyFill="1" applyBorder="1" applyAlignment="1">
      <alignment horizontal="center" vertical="center" wrapText="1"/>
    </xf>
    <xf numFmtId="0" fontId="0" fillId="3" borderId="51" xfId="0" applyFont="1" applyFill="1" applyBorder="1" applyAlignment="1">
      <alignment horizontal="center" vertical="center" wrapText="1"/>
    </xf>
    <xf numFmtId="0" fontId="0" fillId="3" borderId="13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54" fillId="0" borderId="0" xfId="0" applyFont="1" applyFill="1" applyBorder="1" applyAlignment="1" applyProtection="1">
      <alignment horizontal="center" vertical="center" wrapText="1"/>
      <protection locked="0"/>
    </xf>
    <xf numFmtId="178" fontId="12" fillId="0" borderId="66" xfId="0" applyNumberFormat="1" applyFont="1" applyFill="1" applyBorder="1" applyAlignment="1" applyProtection="1">
      <alignment horizontal="center" vertical="center" wrapText="1"/>
      <protection locked="0"/>
    </xf>
    <xf numFmtId="178" fontId="18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>
      <alignment horizontal="center" vertical="center"/>
    </xf>
    <xf numFmtId="0" fontId="12" fillId="0" borderId="110" xfId="0" applyFont="1" applyBorder="1" applyAlignment="1">
      <alignment horizontal="left" vertical="center"/>
    </xf>
    <xf numFmtId="0" fontId="12" fillId="0" borderId="111" xfId="0" applyFont="1" applyBorder="1" applyAlignment="1">
      <alignment horizontal="left" vertical="center"/>
    </xf>
    <xf numFmtId="0" fontId="12" fillId="0" borderId="112" xfId="0" applyFont="1" applyBorder="1" applyAlignment="1">
      <alignment horizontal="left" vertical="center"/>
    </xf>
    <xf numFmtId="0" fontId="12" fillId="0" borderId="113" xfId="0" applyFont="1" applyBorder="1" applyAlignment="1">
      <alignment horizontal="left" vertical="center"/>
    </xf>
    <xf numFmtId="0" fontId="12" fillId="0" borderId="86" xfId="0" applyFont="1" applyBorder="1" applyAlignment="1">
      <alignment horizontal="left" vertical="center"/>
    </xf>
    <xf numFmtId="0" fontId="12" fillId="0" borderId="85" xfId="0" applyFont="1" applyBorder="1" applyAlignment="1">
      <alignment horizontal="left" vertical="center"/>
    </xf>
    <xf numFmtId="0" fontId="22" fillId="0" borderId="78" xfId="0" applyFont="1" applyBorder="1" applyAlignment="1">
      <alignment horizontal="center" vertical="center" textRotation="90"/>
    </xf>
    <xf numFmtId="0" fontId="22" fillId="0" borderId="79" xfId="0" applyFont="1" applyBorder="1" applyAlignment="1">
      <alignment horizontal="center" vertical="center" textRotation="90"/>
    </xf>
    <xf numFmtId="0" fontId="22" fillId="0" borderId="80" xfId="0" applyFont="1" applyBorder="1" applyAlignment="1">
      <alignment horizontal="center" vertical="center" textRotation="90"/>
    </xf>
    <xf numFmtId="0" fontId="22" fillId="0" borderId="45" xfId="0" applyFont="1" applyBorder="1" applyAlignment="1">
      <alignment horizontal="center" vertical="center" textRotation="90"/>
    </xf>
    <xf numFmtId="0" fontId="22" fillId="0" borderId="81" xfId="0" applyFont="1" applyBorder="1" applyAlignment="1">
      <alignment horizontal="center" vertical="center" textRotation="90"/>
    </xf>
    <xf numFmtId="0" fontId="22" fillId="0" borderId="83" xfId="0" applyFont="1" applyBorder="1" applyAlignment="1">
      <alignment horizontal="center" vertical="center" textRotation="90"/>
    </xf>
    <xf numFmtId="0" fontId="12" fillId="0" borderId="64" xfId="0" applyFont="1" applyBorder="1" applyAlignment="1">
      <alignment horizontal="left" vertical="center"/>
    </xf>
    <xf numFmtId="0" fontId="12" fillId="0" borderId="92" xfId="0" applyFont="1" applyBorder="1" applyAlignment="1">
      <alignment horizontal="left" vertical="center"/>
    </xf>
    <xf numFmtId="0" fontId="12" fillId="0" borderId="93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98" xfId="0" applyFont="1" applyBorder="1" applyAlignment="1">
      <alignment horizontal="center" vertical="center" wrapText="1"/>
    </xf>
    <xf numFmtId="0" fontId="15" fillId="0" borderId="84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12" fillId="0" borderId="99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6" fillId="0" borderId="100" xfId="0" applyFont="1" applyFill="1" applyBorder="1" applyAlignment="1">
      <alignment horizontal="center" vertical="center"/>
    </xf>
    <xf numFmtId="0" fontId="16" fillId="0" borderId="101" xfId="0" applyFont="1" applyFill="1" applyBorder="1" applyAlignment="1">
      <alignment horizontal="center" vertical="center"/>
    </xf>
    <xf numFmtId="0" fontId="16" fillId="0" borderId="102" xfId="0" applyFont="1" applyFill="1" applyBorder="1" applyAlignment="1">
      <alignment horizontal="center" vertical="center"/>
    </xf>
    <xf numFmtId="0" fontId="16" fillId="0" borderId="103" xfId="0" applyFont="1" applyFill="1" applyBorder="1" applyAlignment="1">
      <alignment horizontal="center" vertical="center"/>
    </xf>
    <xf numFmtId="0" fontId="16" fillId="0" borderId="104" xfId="0" applyFont="1" applyFill="1" applyBorder="1" applyAlignment="1">
      <alignment horizontal="center" vertical="center"/>
    </xf>
    <xf numFmtId="0" fontId="16" fillId="0" borderId="105" xfId="0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93" xfId="0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/>
    </xf>
    <xf numFmtId="0" fontId="12" fillId="0" borderId="106" xfId="0" applyFont="1" applyFill="1" applyBorder="1" applyAlignment="1">
      <alignment horizontal="center" vertical="center"/>
    </xf>
    <xf numFmtId="0" fontId="12" fillId="0" borderId="107" xfId="0" applyFont="1" applyFill="1" applyBorder="1" applyAlignment="1">
      <alignment horizontal="center" vertical="center"/>
    </xf>
    <xf numFmtId="0" fontId="12" fillId="0" borderId="108" xfId="0" applyFont="1" applyFill="1" applyBorder="1" applyAlignment="1">
      <alignment horizontal="center" vertical="center"/>
    </xf>
    <xf numFmtId="0" fontId="12" fillId="0" borderId="90" xfId="0" applyFont="1" applyBorder="1" applyAlignment="1">
      <alignment horizontal="left" vertical="center"/>
    </xf>
    <xf numFmtId="0" fontId="12" fillId="0" borderId="109" xfId="0" applyFont="1" applyBorder="1" applyAlignment="1">
      <alignment horizontal="left" vertical="center"/>
    </xf>
    <xf numFmtId="0" fontId="12" fillId="0" borderId="90" xfId="0" applyFont="1" applyFill="1" applyBorder="1" applyAlignment="1">
      <alignment horizontal="left" vertical="center"/>
    </xf>
    <xf numFmtId="0" fontId="12" fillId="0" borderId="91" xfId="0" applyFont="1" applyFill="1" applyBorder="1" applyAlignment="1">
      <alignment horizontal="left" vertical="center"/>
    </xf>
    <xf numFmtId="0" fontId="17" fillId="0" borderId="3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84" xfId="0" applyFont="1" applyBorder="1" applyAlignment="1">
      <alignment horizontal="left" vertical="center"/>
    </xf>
    <xf numFmtId="0" fontId="12" fillId="0" borderId="62" xfId="0" applyFont="1" applyBorder="1" applyAlignment="1">
      <alignment horizontal="left" vertical="center"/>
    </xf>
    <xf numFmtId="0" fontId="12" fillId="0" borderId="71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11" fillId="0" borderId="12" xfId="0" applyFont="1" applyBorder="1" applyAlignment="1"/>
    <xf numFmtId="0" fontId="11" fillId="0" borderId="9" xfId="0" applyFont="1" applyBorder="1" applyAlignment="1"/>
    <xf numFmtId="0" fontId="11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1" fillId="0" borderId="12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1" fillId="0" borderId="7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3" fillId="0" borderId="78" xfId="0" applyFont="1" applyBorder="1" applyAlignment="1">
      <alignment horizontal="left" vertical="top" wrapText="1"/>
    </xf>
    <xf numFmtId="0" fontId="13" fillId="0" borderId="44" xfId="0" applyFont="1" applyBorder="1" applyAlignment="1">
      <alignment horizontal="left" vertical="top" wrapText="1"/>
    </xf>
    <xf numFmtId="0" fontId="13" fillId="0" borderId="79" xfId="0" applyFont="1" applyBorder="1" applyAlignment="1">
      <alignment horizontal="left" vertical="top" wrapText="1"/>
    </xf>
    <xf numFmtId="0" fontId="13" fillId="0" borderId="8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45" xfId="0" applyFont="1" applyBorder="1" applyAlignment="1">
      <alignment horizontal="left" vertical="top" wrapText="1"/>
    </xf>
    <xf numFmtId="0" fontId="13" fillId="0" borderId="81" xfId="0" applyFont="1" applyBorder="1" applyAlignment="1">
      <alignment horizontal="left" vertical="top" wrapText="1"/>
    </xf>
    <xf numFmtId="0" fontId="13" fillId="0" borderId="82" xfId="0" applyFont="1" applyBorder="1" applyAlignment="1">
      <alignment horizontal="left" vertical="top" wrapText="1"/>
    </xf>
    <xf numFmtId="0" fontId="13" fillId="0" borderId="83" xfId="0" applyFont="1" applyBorder="1" applyAlignment="1">
      <alignment horizontal="left" vertical="top" wrapText="1"/>
    </xf>
    <xf numFmtId="0" fontId="0" fillId="0" borderId="78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79" xfId="0" applyBorder="1" applyAlignment="1">
      <alignment horizontal="left" vertical="top" wrapText="1"/>
    </xf>
    <xf numFmtId="0" fontId="0" fillId="0" borderId="8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81" xfId="0" applyBorder="1" applyAlignment="1">
      <alignment horizontal="left" vertical="top" wrapText="1"/>
    </xf>
    <xf numFmtId="0" fontId="0" fillId="0" borderId="82" xfId="0" applyBorder="1" applyAlignment="1">
      <alignment horizontal="left" vertical="top" wrapText="1"/>
    </xf>
    <xf numFmtId="0" fontId="0" fillId="0" borderId="83" xfId="0" applyBorder="1" applyAlignment="1">
      <alignment horizontal="left" vertical="top" wrapText="1"/>
    </xf>
    <xf numFmtId="0" fontId="12" fillId="0" borderId="72" xfId="2" applyFont="1" applyBorder="1" applyAlignment="1">
      <alignment horizontal="center" vertical="center"/>
    </xf>
    <xf numFmtId="0" fontId="12" fillId="0" borderId="73" xfId="2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75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71" xfId="2" applyFont="1" applyBorder="1" applyAlignment="1">
      <alignment horizontal="center" vertical="center"/>
    </xf>
    <xf numFmtId="0" fontId="12" fillId="0" borderId="51" xfId="2" applyFont="1" applyBorder="1" applyAlignment="1">
      <alignment horizontal="center" vertical="center"/>
    </xf>
  </cellXfs>
  <cellStyles count="4">
    <cellStyle name="Обычный" xfId="0" builtinId="0"/>
    <cellStyle name="Обычный_SPCF" xfId="1"/>
    <cellStyle name="Обычный_ВР_объемыРабот$" xfId="2"/>
    <cellStyle name="Финансовый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wmf"/><Relationship Id="rId1" Type="http://schemas.openxmlformats.org/officeDocument/2006/relationships/image" Target="../media/image3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0</xdr:row>
      <xdr:rowOff>38100</xdr:rowOff>
    </xdr:from>
    <xdr:to>
      <xdr:col>17</xdr:col>
      <xdr:colOff>133350</xdr:colOff>
      <xdr:row>1</xdr:row>
      <xdr:rowOff>19050</xdr:rowOff>
    </xdr:to>
    <xdr:sp macro="CreateCommandPane" textlink="">
      <xdr:nvSpPr>
        <xdr:cNvPr id="35842" name="Rectangle 2"/>
        <xdr:cNvSpPr>
          <a:spLocks noChangeArrowheads="1"/>
        </xdr:cNvSpPr>
      </xdr:nvSpPr>
      <xdr:spPr bwMode="auto">
        <a:xfrm>
          <a:off x="7848600" y="38100"/>
          <a:ext cx="1343025" cy="142875"/>
        </a:xfrm>
        <a:prstGeom prst="rect">
          <a:avLst/>
        </a:prstGeom>
        <a:solidFill>
          <a:srgbClr val="FFCC00"/>
        </a:solidFill>
        <a:ln w="6350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800000"/>
              </a:solidFill>
              <a:latin typeface="Arial Cyr"/>
              <a:cs typeface="Arial Cyr"/>
            </a:rPr>
            <a:t>Восстановить панель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438150</xdr:colOff>
      <xdr:row>16</xdr:row>
      <xdr:rowOff>9525</xdr:rowOff>
    </xdr:from>
    <xdr:to>
      <xdr:col>13</xdr:col>
      <xdr:colOff>742950</xdr:colOff>
      <xdr:row>16</xdr:row>
      <xdr:rowOff>323850</xdr:rowOff>
    </xdr:to>
    <xdr:pic>
      <xdr:nvPicPr>
        <xdr:cNvPr id="102550" name="Picture 8127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30387" y="10748963"/>
          <a:ext cx="3143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14</xdr:row>
      <xdr:rowOff>257175</xdr:rowOff>
    </xdr:from>
    <xdr:to>
      <xdr:col>1</xdr:col>
      <xdr:colOff>28575</xdr:colOff>
      <xdr:row>16</xdr:row>
      <xdr:rowOff>28575</xdr:rowOff>
    </xdr:to>
    <xdr:pic>
      <xdr:nvPicPr>
        <xdr:cNvPr id="102551" name="Picture 8128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81962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8</xdr:row>
      <xdr:rowOff>581025</xdr:rowOff>
    </xdr:from>
    <xdr:to>
      <xdr:col>1</xdr:col>
      <xdr:colOff>28575</xdr:colOff>
      <xdr:row>14</xdr:row>
      <xdr:rowOff>276225</xdr:rowOff>
    </xdr:to>
    <xdr:pic>
      <xdr:nvPicPr>
        <xdr:cNvPr id="102552" name="Picture 8129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652463" y="4633913"/>
          <a:ext cx="23145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41</xdr:row>
      <xdr:rowOff>1381125</xdr:rowOff>
    </xdr:from>
    <xdr:to>
      <xdr:col>13</xdr:col>
      <xdr:colOff>762000</xdr:colOff>
      <xdr:row>42</xdr:row>
      <xdr:rowOff>266700</xdr:rowOff>
    </xdr:to>
    <xdr:pic>
      <xdr:nvPicPr>
        <xdr:cNvPr id="102553" name="Picture 8130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217932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32</xdr:row>
      <xdr:rowOff>400050</xdr:rowOff>
    </xdr:from>
    <xdr:to>
      <xdr:col>1</xdr:col>
      <xdr:colOff>28575</xdr:colOff>
      <xdr:row>42</xdr:row>
      <xdr:rowOff>19050</xdr:rowOff>
    </xdr:to>
    <xdr:pic>
      <xdr:nvPicPr>
        <xdr:cNvPr id="102554" name="Picture 8131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193119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41</xdr:row>
      <xdr:rowOff>876300</xdr:rowOff>
    </xdr:from>
    <xdr:to>
      <xdr:col>14</xdr:col>
      <xdr:colOff>9525</xdr:colOff>
      <xdr:row>42</xdr:row>
      <xdr:rowOff>9525</xdr:rowOff>
    </xdr:to>
    <xdr:pic>
      <xdr:nvPicPr>
        <xdr:cNvPr id="102555" name="Picture 8132"/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212693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69</xdr:row>
      <xdr:rowOff>1095375</xdr:rowOff>
    </xdr:from>
    <xdr:to>
      <xdr:col>13</xdr:col>
      <xdr:colOff>762000</xdr:colOff>
      <xdr:row>70</xdr:row>
      <xdr:rowOff>266700</xdr:rowOff>
    </xdr:to>
    <xdr:pic>
      <xdr:nvPicPr>
        <xdr:cNvPr id="102556" name="Picture 8133"/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329184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60</xdr:row>
      <xdr:rowOff>104775</xdr:rowOff>
    </xdr:from>
    <xdr:to>
      <xdr:col>1</xdr:col>
      <xdr:colOff>28575</xdr:colOff>
      <xdr:row>70</xdr:row>
      <xdr:rowOff>19050</xdr:rowOff>
    </xdr:to>
    <xdr:pic>
      <xdr:nvPicPr>
        <xdr:cNvPr id="102557" name="Picture 8134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304371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69</xdr:row>
      <xdr:rowOff>590550</xdr:rowOff>
    </xdr:from>
    <xdr:to>
      <xdr:col>14</xdr:col>
      <xdr:colOff>9525</xdr:colOff>
      <xdr:row>70</xdr:row>
      <xdr:rowOff>9525</xdr:rowOff>
    </xdr:to>
    <xdr:pic>
      <xdr:nvPicPr>
        <xdr:cNvPr id="102558" name="Picture 8135"/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323945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97</xdr:row>
      <xdr:rowOff>1285875</xdr:rowOff>
    </xdr:from>
    <xdr:to>
      <xdr:col>13</xdr:col>
      <xdr:colOff>762000</xdr:colOff>
      <xdr:row>98</xdr:row>
      <xdr:rowOff>266700</xdr:rowOff>
    </xdr:to>
    <xdr:pic>
      <xdr:nvPicPr>
        <xdr:cNvPr id="102559" name="Picture 8136"/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440436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89</xdr:row>
      <xdr:rowOff>66675</xdr:rowOff>
    </xdr:from>
    <xdr:to>
      <xdr:col>1</xdr:col>
      <xdr:colOff>28575</xdr:colOff>
      <xdr:row>98</xdr:row>
      <xdr:rowOff>19050</xdr:rowOff>
    </xdr:to>
    <xdr:pic>
      <xdr:nvPicPr>
        <xdr:cNvPr id="102560" name="Picture 8137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4156233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97</xdr:row>
      <xdr:rowOff>781050</xdr:rowOff>
    </xdr:from>
    <xdr:to>
      <xdr:col>14</xdr:col>
      <xdr:colOff>9525</xdr:colOff>
      <xdr:row>98</xdr:row>
      <xdr:rowOff>9525</xdr:rowOff>
    </xdr:to>
    <xdr:pic>
      <xdr:nvPicPr>
        <xdr:cNvPr id="102561" name="Picture 8138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435197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117</xdr:row>
      <xdr:rowOff>1981200</xdr:rowOff>
    </xdr:from>
    <xdr:to>
      <xdr:col>13</xdr:col>
      <xdr:colOff>762000</xdr:colOff>
      <xdr:row>118</xdr:row>
      <xdr:rowOff>266700</xdr:rowOff>
    </xdr:to>
    <xdr:pic>
      <xdr:nvPicPr>
        <xdr:cNvPr id="102562" name="Picture 8139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551592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112</xdr:row>
      <xdr:rowOff>66675</xdr:rowOff>
    </xdr:from>
    <xdr:to>
      <xdr:col>1</xdr:col>
      <xdr:colOff>28575</xdr:colOff>
      <xdr:row>118</xdr:row>
      <xdr:rowOff>19050</xdr:rowOff>
    </xdr:to>
    <xdr:pic>
      <xdr:nvPicPr>
        <xdr:cNvPr id="102563" name="Picture 8140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5267801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117</xdr:row>
      <xdr:rowOff>1476375</xdr:rowOff>
    </xdr:from>
    <xdr:to>
      <xdr:col>14</xdr:col>
      <xdr:colOff>9525</xdr:colOff>
      <xdr:row>118</xdr:row>
      <xdr:rowOff>9525</xdr:rowOff>
    </xdr:to>
    <xdr:pic>
      <xdr:nvPicPr>
        <xdr:cNvPr id="102564" name="Picture 8141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5463540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141</xdr:row>
      <xdr:rowOff>1228725</xdr:rowOff>
    </xdr:from>
    <xdr:to>
      <xdr:col>13</xdr:col>
      <xdr:colOff>762000</xdr:colOff>
      <xdr:row>142</xdr:row>
      <xdr:rowOff>266700</xdr:rowOff>
    </xdr:to>
    <xdr:pic>
      <xdr:nvPicPr>
        <xdr:cNvPr id="102565" name="Picture 8142"/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662844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132</xdr:row>
      <xdr:rowOff>400050</xdr:rowOff>
    </xdr:from>
    <xdr:to>
      <xdr:col>1</xdr:col>
      <xdr:colOff>28575</xdr:colOff>
      <xdr:row>142</xdr:row>
      <xdr:rowOff>19050</xdr:rowOff>
    </xdr:to>
    <xdr:pic>
      <xdr:nvPicPr>
        <xdr:cNvPr id="102566" name="Picture 8143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6380321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141</xdr:row>
      <xdr:rowOff>733425</xdr:rowOff>
    </xdr:from>
    <xdr:to>
      <xdr:col>14</xdr:col>
      <xdr:colOff>9525</xdr:colOff>
      <xdr:row>142</xdr:row>
      <xdr:rowOff>19050</xdr:rowOff>
    </xdr:to>
    <xdr:pic>
      <xdr:nvPicPr>
        <xdr:cNvPr id="102567" name="Picture 8144"/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657701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163</xdr:row>
      <xdr:rowOff>1362075</xdr:rowOff>
    </xdr:from>
    <xdr:to>
      <xdr:col>13</xdr:col>
      <xdr:colOff>762000</xdr:colOff>
      <xdr:row>164</xdr:row>
      <xdr:rowOff>266700</xdr:rowOff>
    </xdr:to>
    <xdr:pic>
      <xdr:nvPicPr>
        <xdr:cNvPr id="102568" name="Picture 8145"/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7720965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155</xdr:row>
      <xdr:rowOff>638175</xdr:rowOff>
    </xdr:from>
    <xdr:to>
      <xdr:col>1</xdr:col>
      <xdr:colOff>28575</xdr:colOff>
      <xdr:row>164</xdr:row>
      <xdr:rowOff>19050</xdr:rowOff>
    </xdr:to>
    <xdr:pic>
      <xdr:nvPicPr>
        <xdr:cNvPr id="102569" name="Picture 8146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43063" y="74776013"/>
          <a:ext cx="45243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163</xdr:row>
      <xdr:rowOff>857250</xdr:rowOff>
    </xdr:from>
    <xdr:to>
      <xdr:col>14</xdr:col>
      <xdr:colOff>9525</xdr:colOff>
      <xdr:row>164</xdr:row>
      <xdr:rowOff>9525</xdr:rowOff>
    </xdr:to>
    <xdr:pic>
      <xdr:nvPicPr>
        <xdr:cNvPr id="102570" name="Picture 8147"/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7668577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188</xdr:row>
      <xdr:rowOff>1362075</xdr:rowOff>
    </xdr:from>
    <xdr:to>
      <xdr:col>13</xdr:col>
      <xdr:colOff>762000</xdr:colOff>
      <xdr:row>189</xdr:row>
      <xdr:rowOff>266700</xdr:rowOff>
    </xdr:to>
    <xdr:pic>
      <xdr:nvPicPr>
        <xdr:cNvPr id="102571" name="Picture 8148"/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8832532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178</xdr:row>
      <xdr:rowOff>361950</xdr:rowOff>
    </xdr:from>
    <xdr:to>
      <xdr:col>1</xdr:col>
      <xdr:colOff>28575</xdr:colOff>
      <xdr:row>189</xdr:row>
      <xdr:rowOff>19050</xdr:rowOff>
    </xdr:to>
    <xdr:pic>
      <xdr:nvPicPr>
        <xdr:cNvPr id="102572" name="Picture 8149"/>
        <xdr:cNvPicPr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858440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188</xdr:row>
      <xdr:rowOff>857250</xdr:rowOff>
    </xdr:from>
    <xdr:to>
      <xdr:col>14</xdr:col>
      <xdr:colOff>9525</xdr:colOff>
      <xdr:row>189</xdr:row>
      <xdr:rowOff>9525</xdr:rowOff>
    </xdr:to>
    <xdr:pic>
      <xdr:nvPicPr>
        <xdr:cNvPr id="102573" name="Picture 8150"/>
        <xdr:cNvPicPr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8780145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209</xdr:row>
      <xdr:rowOff>1781175</xdr:rowOff>
    </xdr:from>
    <xdr:to>
      <xdr:col>13</xdr:col>
      <xdr:colOff>762000</xdr:colOff>
      <xdr:row>210</xdr:row>
      <xdr:rowOff>266700</xdr:rowOff>
    </xdr:to>
    <xdr:pic>
      <xdr:nvPicPr>
        <xdr:cNvPr id="102574" name="Picture 8151"/>
        <xdr:cNvPicPr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9946005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203</xdr:row>
      <xdr:rowOff>285750</xdr:rowOff>
    </xdr:from>
    <xdr:to>
      <xdr:col>1</xdr:col>
      <xdr:colOff>28575</xdr:colOff>
      <xdr:row>210</xdr:row>
      <xdr:rowOff>19050</xdr:rowOff>
    </xdr:to>
    <xdr:pic>
      <xdr:nvPicPr>
        <xdr:cNvPr id="102575" name="Picture 8152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96978788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209</xdr:row>
      <xdr:rowOff>1276350</xdr:rowOff>
    </xdr:from>
    <xdr:to>
      <xdr:col>14</xdr:col>
      <xdr:colOff>9525</xdr:colOff>
      <xdr:row>210</xdr:row>
      <xdr:rowOff>9525</xdr:rowOff>
    </xdr:to>
    <xdr:pic>
      <xdr:nvPicPr>
        <xdr:cNvPr id="102576" name="Picture 8153"/>
        <xdr:cNvPicPr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9893617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235</xdr:row>
      <xdr:rowOff>1209675</xdr:rowOff>
    </xdr:from>
    <xdr:to>
      <xdr:col>13</xdr:col>
      <xdr:colOff>762000</xdr:colOff>
      <xdr:row>236</xdr:row>
      <xdr:rowOff>266700</xdr:rowOff>
    </xdr:to>
    <xdr:pic>
      <xdr:nvPicPr>
        <xdr:cNvPr id="102577" name="Picture 8154"/>
        <xdr:cNvPicPr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1105947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224</xdr:row>
      <xdr:rowOff>171450</xdr:rowOff>
    </xdr:from>
    <xdr:to>
      <xdr:col>1</xdr:col>
      <xdr:colOff>28575</xdr:colOff>
      <xdr:row>236</xdr:row>
      <xdr:rowOff>19050</xdr:rowOff>
    </xdr:to>
    <xdr:pic>
      <xdr:nvPicPr>
        <xdr:cNvPr id="102578" name="Picture 8155"/>
        <xdr:cNvPicPr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10811351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235</xdr:row>
      <xdr:rowOff>704850</xdr:rowOff>
    </xdr:from>
    <xdr:to>
      <xdr:col>14</xdr:col>
      <xdr:colOff>9525</xdr:colOff>
      <xdr:row>236</xdr:row>
      <xdr:rowOff>9525</xdr:rowOff>
    </xdr:to>
    <xdr:pic>
      <xdr:nvPicPr>
        <xdr:cNvPr id="102579" name="Picture 8156"/>
        <xdr:cNvPicPr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1007090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257</xdr:row>
      <xdr:rowOff>714375</xdr:rowOff>
    </xdr:from>
    <xdr:to>
      <xdr:col>13</xdr:col>
      <xdr:colOff>762000</xdr:colOff>
      <xdr:row>258</xdr:row>
      <xdr:rowOff>266700</xdr:rowOff>
    </xdr:to>
    <xdr:pic>
      <xdr:nvPicPr>
        <xdr:cNvPr id="102580" name="Picture 8157"/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121300875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250</xdr:row>
      <xdr:rowOff>600075</xdr:rowOff>
    </xdr:from>
    <xdr:to>
      <xdr:col>1</xdr:col>
      <xdr:colOff>28575</xdr:colOff>
      <xdr:row>258</xdr:row>
      <xdr:rowOff>19050</xdr:rowOff>
    </xdr:to>
    <xdr:pic>
      <xdr:nvPicPr>
        <xdr:cNvPr id="102581" name="Picture 8158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590675" y="118919625"/>
          <a:ext cx="4419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257</xdr:row>
      <xdr:rowOff>209550</xdr:rowOff>
    </xdr:from>
    <xdr:to>
      <xdr:col>14</xdr:col>
      <xdr:colOff>9525</xdr:colOff>
      <xdr:row>258</xdr:row>
      <xdr:rowOff>9525</xdr:rowOff>
    </xdr:to>
    <xdr:pic>
      <xdr:nvPicPr>
        <xdr:cNvPr id="102582" name="Picture 8159"/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2077700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281</xdr:row>
      <xdr:rowOff>1857375</xdr:rowOff>
    </xdr:from>
    <xdr:to>
      <xdr:col>13</xdr:col>
      <xdr:colOff>762000</xdr:colOff>
      <xdr:row>282</xdr:row>
      <xdr:rowOff>266700</xdr:rowOff>
    </xdr:to>
    <xdr:pic>
      <xdr:nvPicPr>
        <xdr:cNvPr id="102583" name="Picture 8160"/>
        <xdr:cNvPicPr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13222605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274</xdr:row>
      <xdr:rowOff>1171575</xdr:rowOff>
    </xdr:from>
    <xdr:to>
      <xdr:col>1</xdr:col>
      <xdr:colOff>28575</xdr:colOff>
      <xdr:row>282</xdr:row>
      <xdr:rowOff>19050</xdr:rowOff>
    </xdr:to>
    <xdr:pic>
      <xdr:nvPicPr>
        <xdr:cNvPr id="102584" name="Picture 8161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76400" y="129759075"/>
          <a:ext cx="4591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281</xdr:row>
      <xdr:rowOff>1352550</xdr:rowOff>
    </xdr:from>
    <xdr:to>
      <xdr:col>14</xdr:col>
      <xdr:colOff>9525</xdr:colOff>
      <xdr:row>282</xdr:row>
      <xdr:rowOff>9525</xdr:rowOff>
    </xdr:to>
    <xdr:pic>
      <xdr:nvPicPr>
        <xdr:cNvPr id="102585" name="Picture 8162"/>
        <xdr:cNvPicPr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3170217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301</xdr:row>
      <xdr:rowOff>2486025</xdr:rowOff>
    </xdr:from>
    <xdr:to>
      <xdr:col>13</xdr:col>
      <xdr:colOff>762000</xdr:colOff>
      <xdr:row>302</xdr:row>
      <xdr:rowOff>266700</xdr:rowOff>
    </xdr:to>
    <xdr:pic>
      <xdr:nvPicPr>
        <xdr:cNvPr id="102586" name="Picture 8163"/>
        <xdr:cNvPicPr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0863" y="143146462"/>
          <a:ext cx="3619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296</xdr:row>
      <xdr:rowOff>228600</xdr:rowOff>
    </xdr:from>
    <xdr:to>
      <xdr:col>1</xdr:col>
      <xdr:colOff>28575</xdr:colOff>
      <xdr:row>302</xdr:row>
      <xdr:rowOff>19050</xdr:rowOff>
    </xdr:to>
    <xdr:pic>
      <xdr:nvPicPr>
        <xdr:cNvPr id="102587" name="Picture 8164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690688" y="140669963"/>
          <a:ext cx="46196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301</xdr:row>
      <xdr:rowOff>1990725</xdr:rowOff>
    </xdr:from>
    <xdr:to>
      <xdr:col>14</xdr:col>
      <xdr:colOff>9525</xdr:colOff>
      <xdr:row>302</xdr:row>
      <xdr:rowOff>9525</xdr:rowOff>
    </xdr:to>
    <xdr:pic>
      <xdr:nvPicPr>
        <xdr:cNvPr id="102588" name="Picture 8165"/>
        <xdr:cNvPicPr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42627350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447675</xdr:colOff>
      <xdr:row>324</xdr:row>
      <xdr:rowOff>685800</xdr:rowOff>
    </xdr:from>
    <xdr:to>
      <xdr:col>13</xdr:col>
      <xdr:colOff>762000</xdr:colOff>
      <xdr:row>325</xdr:row>
      <xdr:rowOff>266700</xdr:rowOff>
    </xdr:to>
    <xdr:pic>
      <xdr:nvPicPr>
        <xdr:cNvPr id="102589" name="Picture 8166"/>
        <xdr:cNvPicPr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4525625" y="153657300"/>
          <a:ext cx="3524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313</xdr:row>
      <xdr:rowOff>1047750</xdr:rowOff>
    </xdr:from>
    <xdr:to>
      <xdr:col>1</xdr:col>
      <xdr:colOff>28575</xdr:colOff>
      <xdr:row>325</xdr:row>
      <xdr:rowOff>19050</xdr:rowOff>
    </xdr:to>
    <xdr:pic>
      <xdr:nvPicPr>
        <xdr:cNvPr id="102590" name="Picture 8167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-1566863" y="151299863"/>
          <a:ext cx="43719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324</xdr:row>
      <xdr:rowOff>180975</xdr:rowOff>
    </xdr:from>
    <xdr:to>
      <xdr:col>14</xdr:col>
      <xdr:colOff>9525</xdr:colOff>
      <xdr:row>325</xdr:row>
      <xdr:rowOff>9525</xdr:rowOff>
    </xdr:to>
    <xdr:pic>
      <xdr:nvPicPr>
        <xdr:cNvPr id="102591" name="Picture 8168"/>
        <xdr:cNvPicPr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53133425"/>
          <a:ext cx="67056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323850</xdr:colOff>
      <xdr:row>15</xdr:row>
      <xdr:rowOff>1266825</xdr:rowOff>
    </xdr:from>
    <xdr:to>
      <xdr:col>14</xdr:col>
      <xdr:colOff>9525</xdr:colOff>
      <xdr:row>16</xdr:row>
      <xdr:rowOff>19050</xdr:rowOff>
    </xdr:to>
    <xdr:pic>
      <xdr:nvPicPr>
        <xdr:cNvPr id="102592" name="Picture 8169"/>
        <xdr:cNvPicPr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9077325"/>
          <a:ext cx="67056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9525</xdr:colOff>
      <xdr:row>111</xdr:row>
      <xdr:rowOff>95250</xdr:rowOff>
    </xdr:from>
    <xdr:to>
      <xdr:col>48</xdr:col>
      <xdr:colOff>257175</xdr:colOff>
      <xdr:row>168</xdr:row>
      <xdr:rowOff>104775</xdr:rowOff>
    </xdr:to>
    <xdr:pic>
      <xdr:nvPicPr>
        <xdr:cNvPr id="95201" name="Picture 319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6350912" y="23074313"/>
          <a:ext cx="94011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38100</xdr:rowOff>
    </xdr:from>
    <xdr:to>
      <xdr:col>3</xdr:col>
      <xdr:colOff>142875</xdr:colOff>
      <xdr:row>0</xdr:row>
      <xdr:rowOff>180975</xdr:rowOff>
    </xdr:to>
    <xdr:sp macro="CreateCommandPane" textlink="">
      <xdr:nvSpPr>
        <xdr:cNvPr id="18575" name="Rectangle 3215"/>
        <xdr:cNvSpPr>
          <a:spLocks noChangeArrowheads="1"/>
        </xdr:cNvSpPr>
      </xdr:nvSpPr>
      <xdr:spPr bwMode="auto">
        <a:xfrm>
          <a:off x="76200" y="38100"/>
          <a:ext cx="1571625" cy="142875"/>
        </a:xfrm>
        <a:prstGeom prst="rect">
          <a:avLst/>
        </a:prstGeom>
        <a:solidFill>
          <a:srgbClr val="FFCC00"/>
        </a:solidFill>
        <a:ln w="6350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800000"/>
              </a:solidFill>
              <a:latin typeface="Arial Cyr"/>
              <a:cs typeface="Arial Cyr"/>
            </a:rPr>
            <a:t>Восстановить панель</a:t>
          </a:r>
        </a:p>
      </xdr:txBody>
    </xdr:sp>
    <xdr:clientData/>
  </xdr:twoCellAnchor>
  <xdr:twoCellAnchor>
    <xdr:from>
      <xdr:col>19</xdr:col>
      <xdr:colOff>371475</xdr:colOff>
      <xdr:row>6</xdr:row>
      <xdr:rowOff>38100</xdr:rowOff>
    </xdr:from>
    <xdr:to>
      <xdr:col>19</xdr:col>
      <xdr:colOff>619125</xdr:colOff>
      <xdr:row>7</xdr:row>
      <xdr:rowOff>104775</xdr:rowOff>
    </xdr:to>
    <xdr:pic>
      <xdr:nvPicPr>
        <xdr:cNvPr id="95203" name="Picture 321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1825" y="1162050"/>
          <a:ext cx="2476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6</xdr:row>
      <xdr:rowOff>123825</xdr:rowOff>
    </xdr:from>
    <xdr:to>
      <xdr:col>8</xdr:col>
      <xdr:colOff>371475</xdr:colOff>
      <xdr:row>8</xdr:row>
      <xdr:rowOff>47625</xdr:rowOff>
    </xdr:to>
    <xdr:pic>
      <xdr:nvPicPr>
        <xdr:cNvPr id="95204" name="Picture 3219" descr="logo copy_c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1247775"/>
          <a:ext cx="3524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19050</xdr:colOff>
      <xdr:row>27</xdr:row>
      <xdr:rowOff>123825</xdr:rowOff>
    </xdr:from>
    <xdr:to>
      <xdr:col>8</xdr:col>
      <xdr:colOff>400050</xdr:colOff>
      <xdr:row>29</xdr:row>
      <xdr:rowOff>76200</xdr:rowOff>
    </xdr:to>
    <xdr:pic>
      <xdr:nvPicPr>
        <xdr:cNvPr id="95205" name="Picture 3220" descr="logo copy_cr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4895850"/>
          <a:ext cx="3810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l01-gtptmn\&#1064;&#1072;&#1073;&#1083;&#1086;&#1085;&#1099;_Office\Documents%20and%20Settings\KomarovAI\&#1056;&#1072;&#1073;&#1086;&#1095;&#1080;&#1081;%20&#1089;&#1090;&#1086;&#1083;\&#1050;&#1085;&#1080;&#1075;&#10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_&#1055;&#1047;&#1057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"/>
      <sheetName val="Прил 6.51-Упр рас"/>
      <sheetName val="ФЗП"/>
      <sheetName val="Книга1"/>
      <sheetName val="#ССЫЛКА"/>
      <sheetName val="прочие "/>
      <sheetName val="Ли啁䉓C"/>
      <sheetName val="_x0004__x0002__x0000_ਸ"/>
      <sheetName val="氼_x0000_"/>
      <sheetName val="Материалы"/>
      <sheetName val="_x0000__x0000__x0000_褠(Опубликоват&amp;ь..._x0000_T_x0000__xde68_ュ_x0001__x0000__x0001__x0000_"/>
      <sheetName val="год.отчетность 2008"/>
      <sheetName val="_x0000_Ť_x0000_Ũ_x0000__x0000__x0000__x0000_ࢰ_x0000_ࢰᏬި_x0000_㿭_x0000__x0018__x0000_ᐐ_x0001__x0000_ި_x0000__x0000__x0000__x0000_ࢰ詀ㅡ"/>
      <sheetName val="GalDBTblFld_MainTable_Schet"/>
      <sheetName val="6.7.3_ТН"/>
      <sheetName val="???褠(Опубликоват&amp;ь...?T?_xde68_ュ_x0001_?_x0001_?"/>
      <sheetName val="?Ť?Ũ????ࢰ?ࢰᏬި?㿭?_x0018_?ᐐ_x0001_?ި????ࢰ詀ㅡ"/>
      <sheetName val="ArabicNafitha Enhanced Arabic C"/>
      <sheetName val="褠(Опубликоват&amp;ь..._x0000_T_x0000__xde68_ュ_x0001__x0000__x0001__x0000_褈_x0001_"/>
      <sheetName val="Ж.Дом_гор.Олекм 2010"/>
      <sheetName val="褠(Опубликоват&amp;ь...?T?_xde68_ュ_x0001_?_x0001_?褈_x0001_"/>
      <sheetName val="2011 факт"/>
      <sheetName val="Восстановл_Лист4"/>
      <sheetName val="_x0000__x0000__x0000_褠(Опубликоват&amp;ь..._x0000_T_x0000_�ュ_x0001__x0000__x0001__x0000_"/>
      <sheetName val="???褠(Опубликоват&amp;ь...?T?�ュ_x0001_?_x0001_?"/>
      <sheetName val="褠(Опубликоват&amp;ь..._x0000_T_x0000_�ュ_x0001__x0000__x0001__x0000_褈_x0001_"/>
      <sheetName val="褠(Опубликоват&amp;ь...?T?�ュ_x0001_?_x0001_?褈_x0001_"/>
      <sheetName val="?"/>
      <sheetName val="6_11_1  сторонние"/>
      <sheetName val="Восстановл_Лист12"/>
      <sheetName val="Восстановл_Лист18"/>
      <sheetName val="Восстановл_Лист10"/>
      <sheetName val="Восстановл_Лист6"/>
      <sheetName val="Восстановл_Лист14"/>
      <sheetName val="Восстановл_Лист20"/>
      <sheetName val="Восстановл_Лист16"/>
      <sheetName val="Восстановл_Лист5"/>
      <sheetName val="Восстановл_Лист13"/>
      <sheetName val="Восстановл_Лист19"/>
      <sheetName val="Восстановл_Лист11"/>
      <sheetName val="Восстановл_Лист7"/>
      <sheetName val="Восстановл_Лист15"/>
      <sheetName val="Восстановл_Лист21"/>
      <sheetName val="Восстановл_Лист17"/>
      <sheetName val="४婢_xffff_堀삁豈_xffff__x0000__x0000_܀耀_x0000_쀀_x0000_䘀_x0000__x0000__x0000__x0000__x0000__x0000__x0000__x0000_삁豈_xffff_삅豈_xffff_"/>
      <sheetName val="ПЗС"/>
      <sheetName val="Лист визирования"/>
      <sheetName val="_x0000_"/>
      <sheetName val="氼?"/>
      <sheetName val="Цена"/>
      <sheetName val="Product"/>
      <sheetName val="Обновление"/>
      <sheetName val="Коэфф1."/>
      <sheetName val="График"/>
      <sheetName val="Суточная"/>
      <sheetName val="Смета"/>
      <sheetName val="топография"/>
      <sheetName val="Подрядчики"/>
      <sheetName val="2002(v2)"/>
      <sheetName val="2002_v2_"/>
      <sheetName val="медведицкая"/>
      <sheetName val="медведицкая (2)"/>
      <sheetName val="Сумма прописью"/>
      <sheetName val="132-155"/>
      <sheetName val="зай"/>
      <sheetName val="сводная рд"/>
      <sheetName val="волгард"/>
      <sheetName val="706-793вл"/>
      <sheetName val="626-706вл"/>
      <sheetName val="прим-рд"/>
      <sheetName val="нпс2рд"/>
      <sheetName val="нпс3рд "/>
      <sheetName val="нпс кириши рд"/>
      <sheetName val="73-94рд"/>
      <sheetName val="538-626"/>
      <sheetName val="515-538рд"/>
      <sheetName val="дружба"/>
      <sheetName val="яросл2"/>
      <sheetName val="155-253"/>
      <sheetName val="обследование"/>
      <sheetName val="новгород"/>
      <sheetName val="515-538"/>
      <sheetName val="НПС-2"/>
      <sheetName val="НПС-3 "/>
      <sheetName val="которосль"/>
      <sheetName val="улейма"/>
      <sheetName val="ярославль"/>
      <sheetName val="уфа"/>
      <sheetName val="Шкаф"/>
      <sheetName val="Прайс лист"/>
      <sheetName val="Пример расчета"/>
      <sheetName val="SP173И1"/>
      <sheetName val="SP173И2"/>
      <sheetName val="SP173И3"/>
      <sheetName val="SP353СИ1"/>
      <sheetName val="SP353СИ2"/>
      <sheetName val="SP353ЦИ1"/>
      <sheetName val="SP353ЦИ2"/>
      <sheetName val="Данные для расчёта сметы"/>
      <sheetName val="氼"/>
      <sheetName val="_x0004__x0002_?ਸ"/>
      <sheetName val="М_1"/>
      <sheetName val="_x0000__x0001__x0000__x0003__x0000_4_x0000_¼_x0000__x0001__x0000__x0000__x0000__x0000__x0000__x0000__x0000__x0000__x0000__x0000_"/>
      <sheetName val="перекачка НПЗ Т-5"/>
      <sheetName val="Приложение 4"/>
      <sheetName val="Приложение 5"/>
      <sheetName val="Приложение 6"/>
      <sheetName val="УЭРВ-100 МЭПК, клапан"/>
      <sheetName val="Приложение РЭН"/>
      <sheetName val="ПОДПИСИ"/>
      <sheetName val="медведицкая_(2)"/>
      <sheetName val="Сумма_прописью"/>
      <sheetName val="сводная_рд"/>
      <sheetName val="нпс3рд_"/>
      <sheetName val="нпс_кириши_рд"/>
      <sheetName val="НПС-3_"/>
      <sheetName val="Список прогонов за месяц"/>
      <sheetName val="Documents and Settings\Halilova"/>
      <sheetName val="ТИТУЛ"/>
      <sheetName val="ОБЩЕСТВА"/>
      <sheetName val="Приморск БДС"/>
      <sheetName val="ААС М.Вешак (259,8)_x0000__x0000_İŹ_x0000__x0004__x0000__x0000__x0000__x0000__x0000__x0000_"/>
      <sheetName val="ААС М.Вешак (259,8)??İŹ?_x0004_??????"/>
      <sheetName val="Проверка и настройка параметров"/>
      <sheetName val="AccountingQtyTotal"/>
      <sheetName val="ПДР"/>
      <sheetName val="1.1"/>
      <sheetName val="Смета 1"/>
      <sheetName val="Зап-3- СЦБ"/>
      <sheetName val="Смета2 проект. раб."/>
      <sheetName val="смета 2 проект. работы"/>
      <sheetName val="Кредиты"/>
      <sheetName val="1.2 геол"/>
      <sheetName val="5 П"/>
      <sheetName val="3 акт П"/>
      <sheetName val="1.1 геод"/>
      <sheetName val="MAIN_PARAMETERS"/>
      <sheetName val="4сд"/>
      <sheetName val="2сд"/>
      <sheetName val="7сд"/>
      <sheetName val="Коэф"/>
      <sheetName val="вариант"/>
      <sheetName val="DMTR_BP_03"/>
      <sheetName val="Calc"/>
      <sheetName val="ID"/>
      <sheetName val="Таблица 2"/>
      <sheetName val="свод"/>
      <sheetName val="Титул1"/>
      <sheetName val="Титул2"/>
      <sheetName val="Титул3"/>
      <sheetName val="Упр"/>
      <sheetName val="Таблица 3"/>
      <sheetName val="РП"/>
      <sheetName val="СС"/>
      <sheetName val="информация"/>
      <sheetName val="Summary"/>
      <sheetName val="К.рын"/>
      <sheetName val="Tabelle3"/>
      <sheetName val="93-110"/>
      <sheetName val="Сводная"/>
      <sheetName val="Восстановл_Лист44"/>
      <sheetName val="Восстановл_Лист45"/>
      <sheetName val="Восстановл_Лист9"/>
      <sheetName val="Восстановл_Лист46"/>
      <sheetName val="Восстановл_Лист49"/>
      <sheetName val="Расчет зарплаты"/>
      <sheetName val="Табл38-7"/>
      <sheetName val="ЭХЗ"/>
      <sheetName val="№5 СУБ Инж защ"/>
      <sheetName val="13.1"/>
      <sheetName val="Харьяга-индига(ПР-Трасса+реки)"/>
      <sheetName val="к.84-к.83"/>
      <sheetName val="свод 2"/>
      <sheetName val="HP и оргтехника"/>
      <sheetName val="свод 3"/>
      <sheetName val="СметаСводная Колпино"/>
      <sheetName val="СметаСводная"/>
      <sheetName val="См3 СЦБ-зап"/>
      <sheetName val="ИГ1"/>
      <sheetName val="СметаСводная снег"/>
      <sheetName val="см8"/>
      <sheetName val="Смета 7"/>
      <sheetName val="Смета 1свод"/>
      <sheetName val="шаблон"/>
      <sheetName val="Ф-1"/>
      <sheetName val="Справочники"/>
      <sheetName val="Разработка проекта"/>
      <sheetName val="RSOILBAL"/>
      <sheetName val="СМЕТА проект"/>
      <sheetName val="5ОборРабМест(HP)"/>
      <sheetName val="КП с изм.2"/>
      <sheetName val="КП"/>
      <sheetName val="Лист2_x0000_"/>
      <sheetName val="БАЛАНС"/>
      <sheetName val="Распределение"/>
      <sheetName val="Гр5(о)"/>
      <sheetName val="Прил_6_51-Упр_рас"/>
      <sheetName val="【Ǆ【ㄨヶ㞄　L【ㄨヶ_x0008__x0000__x0008__x0000_က_x0000__x0000_Ҍ_x0000_ރ_x0001__x0000__x0004__x0000__x0002__x0000__x0004__x0000_ "/>
      <sheetName val="6.12"/>
      <sheetName val="6.7"/>
      <sheetName val="6.5.1_ТНП"/>
      <sheetName val="6.22"/>
      <sheetName val="6.14_КР"/>
      <sheetName val="6.14"/>
      <sheetName val="6.3.1"/>
      <sheetName val="ПРОГНОЗ_1"/>
      <sheetName val="6_12"/>
      <sheetName val="6_7"/>
      <sheetName val="6_5_1_ТНП"/>
      <sheetName val="6_22"/>
      <sheetName val="6_14_КР"/>
      <sheetName val="6_14"/>
      <sheetName val="6_3_1"/>
      <sheetName val="8.14 КР (списание)ОПСТИКР"/>
      <sheetName val="ДДС (Форма №3)"/>
      <sheetName val="7_1_6_56"/>
      <sheetName val="7_1_6_57"/>
      <sheetName val="_x0000_&amp;_x0000_'_x0000_(_x0000_)_x0000_*_x0000_+_x0000_,_x0000_-_x0000_._x0000_/_x0000_0_x0000_1_x0000_2_x0000_3_x0000_4_x0000_"/>
      <sheetName val="AS_____________________________"/>
      <sheetName val="?&amp;?'?(?)?*?+?,?-?.?/?0?1?2?3?4?"/>
      <sheetName val="Форма 2.5к-Украина"/>
      <sheetName val="Сп"/>
      <sheetName val="Коэф КВ"/>
      <sheetName val="КС2 ВСТО "/>
      <sheetName val="Итог Лена"/>
      <sheetName val="Итого М. (2)"/>
      <sheetName val="условия"/>
      <sheetName val="Итог Антиснег11.01"/>
      <sheetName val="Входные параметрыВНГДУ"/>
      <sheetName val="1"/>
      <sheetName val="SakhNIPI5"/>
      <sheetName val="эл.химз."/>
      <sheetName val="гидрология"/>
      <sheetName val="Амур ДОН"/>
      <sheetName val="топо"/>
      <sheetName val="ПИР"/>
      <sheetName val="Лист опроса"/>
      <sheetName val="СметаСводная 1 оч"/>
      <sheetName val="х"/>
      <sheetName val="СметаСводная павильон"/>
      <sheetName val="прод_зап8 (2)"/>
      <sheetName val="540"/>
      <sheetName val="853 (корр) (2)"/>
      <sheetName val="Объемы работ по ПВ"/>
      <sheetName val="ПДР ООО &quot;Юкос ФБЦ&quot;"/>
      <sheetName val="начало"/>
      <sheetName val="2.2 "/>
      <sheetName val="ВЛ-10"/>
      <sheetName val="Исх. данные"/>
      <sheetName val="sapactivexlhiddensheet"/>
      <sheetName val="Lim"/>
      <sheetName val="Хар_"/>
      <sheetName val="С1_"/>
      <sheetName val="Ачинский НПЗ"/>
      <sheetName val="Бюджет"/>
      <sheetName val="СЦПР-90-38"/>
      <sheetName val="Свод стоимость"/>
      <sheetName val="Свод объем"/>
      <sheetName val="Приложение 2"/>
      <sheetName val="1.1."/>
      <sheetName val="СметаСводная Рыб"/>
      <sheetName val="Data"/>
      <sheetName val="_x0000__x0003__x0000__x0004__x0000__x0000__x0000__x0000__x0000__xdcb0_͒_x0000__x0000__x0001__x0000__x0000__x0000__x0000__x0000__x0000_"/>
      <sheetName val="_x0000__x0003__x0000__x0004__x0000__x0000__x0000__x0000__x0000_�͒_x0000__x0000__x0001__x0000__x0000__x0000__x0000__x0000__x0000_"/>
      <sheetName val="?_x0003_?_x0004_?????_xdcb0_͒??_x0001_??????"/>
      <sheetName val="?_x0003_?_x0004_?????�͒??_x0001_??????"/>
      <sheetName val="४婢_xffff_堀삁豈_xffff_??܀耀?쀀?䘀????????삁豈_xffff_삅豈_xffff_"/>
      <sheetName val="grafyleden-duben"/>
      <sheetName val="Const"/>
      <sheetName val="Реестр Диаг НПС ВНП"/>
      <sheetName val="_x0004__x0002_"/>
      <sheetName val="氼_"/>
    </sheetNames>
    <sheetDataSet>
      <sheetData sheetId="0"/>
      <sheetData sheetId="1" refreshError="1">
        <row r="1">
          <cell r="A1" t="str">
            <v>Иван</v>
          </cell>
        </row>
        <row r="2">
          <cell r="A2" t="str">
            <v>Виктор</v>
          </cell>
        </row>
        <row r="3">
          <cell r="A3" t="str">
            <v>яыпо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 refreshError="1"/>
      <sheetData sheetId="110" refreshError="1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СпецДляЦуп"/>
      <sheetName val="ПЗС"/>
      <sheetName val="ГрМТР"/>
      <sheetName val="КодыЗакПод"/>
      <sheetName val="Спр"/>
      <sheetName val="Спр (2)"/>
      <sheetName val="Штамп"/>
      <sheetName val="Спр_ста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81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R111"/>
  <sheetViews>
    <sheetView zoomScale="85" workbookViewId="0">
      <selection activeCell="N2" sqref="N2"/>
    </sheetView>
  </sheetViews>
  <sheetFormatPr defaultRowHeight="12.75"/>
  <cols>
    <col min="1" max="1" width="5.7109375" customWidth="1"/>
    <col min="2" max="4" width="2.7109375" customWidth="1"/>
    <col min="13" max="13" width="12.28515625" customWidth="1"/>
  </cols>
  <sheetData>
    <row r="1" spans="1:18">
      <c r="A1" s="15"/>
      <c r="B1" t="s">
        <v>102</v>
      </c>
    </row>
    <row r="2" spans="1:18">
      <c r="A2" s="2"/>
      <c r="B2" t="s">
        <v>103</v>
      </c>
      <c r="R2" t="s">
        <v>75</v>
      </c>
    </row>
    <row r="3" spans="1:18">
      <c r="A3" s="2"/>
      <c r="B3" t="s">
        <v>90</v>
      </c>
    </row>
    <row r="4" spans="1:18">
      <c r="B4" t="s">
        <v>91</v>
      </c>
    </row>
    <row r="6" spans="1:18">
      <c r="B6" t="s">
        <v>51</v>
      </c>
    </row>
    <row r="7" spans="1:18">
      <c r="C7" t="s">
        <v>71</v>
      </c>
    </row>
    <row r="8" spans="1:18">
      <c r="C8" t="s">
        <v>58</v>
      </c>
    </row>
    <row r="10" spans="1:18">
      <c r="B10" t="s">
        <v>57</v>
      </c>
    </row>
    <row r="11" spans="1:18">
      <c r="C11" t="s">
        <v>86</v>
      </c>
    </row>
    <row r="12" spans="1:18">
      <c r="C12" t="s">
        <v>85</v>
      </c>
    </row>
    <row r="13" spans="1:18">
      <c r="B13" t="s">
        <v>69</v>
      </c>
    </row>
    <row r="16" spans="1:18">
      <c r="A16" s="15"/>
      <c r="B16" t="s">
        <v>104</v>
      </c>
    </row>
    <row r="17" spans="2:4">
      <c r="B17" t="s">
        <v>105</v>
      </c>
    </row>
    <row r="18" spans="2:4">
      <c r="B18" t="s">
        <v>106</v>
      </c>
    </row>
    <row r="19" spans="2:4">
      <c r="B19" t="s">
        <v>108</v>
      </c>
    </row>
    <row r="20" spans="2:4">
      <c r="B20" t="s">
        <v>107</v>
      </c>
    </row>
    <row r="21" spans="2:4">
      <c r="B21" t="s">
        <v>109</v>
      </c>
    </row>
    <row r="22" spans="2:4">
      <c r="B22" t="s">
        <v>110</v>
      </c>
    </row>
    <row r="23" spans="2:4">
      <c r="B23" s="17" t="s">
        <v>82</v>
      </c>
    </row>
    <row r="24" spans="2:4">
      <c r="B24" t="s">
        <v>49</v>
      </c>
    </row>
    <row r="26" spans="2:4">
      <c r="B26" t="s">
        <v>52</v>
      </c>
    </row>
    <row r="27" spans="2:4">
      <c r="B27" t="s">
        <v>53</v>
      </c>
    </row>
    <row r="28" spans="2:4">
      <c r="B28" t="s">
        <v>89</v>
      </c>
    </row>
    <row r="30" spans="2:4">
      <c r="B30" t="s">
        <v>59</v>
      </c>
    </row>
    <row r="31" spans="2:4">
      <c r="C31" t="s">
        <v>60</v>
      </c>
    </row>
    <row r="32" spans="2:4">
      <c r="D32" t="s">
        <v>61</v>
      </c>
    </row>
    <row r="33" spans="1:5">
      <c r="E33" t="s">
        <v>63</v>
      </c>
    </row>
    <row r="34" spans="1:5">
      <c r="E34" t="s">
        <v>87</v>
      </c>
    </row>
    <row r="35" spans="1:5">
      <c r="E35" t="s">
        <v>88</v>
      </c>
    </row>
    <row r="36" spans="1:5">
      <c r="A36" s="2"/>
      <c r="D36" t="s">
        <v>62</v>
      </c>
    </row>
    <row r="37" spans="1:5">
      <c r="E37" t="s">
        <v>83</v>
      </c>
    </row>
    <row r="38" spans="1:5">
      <c r="E38" t="s">
        <v>67</v>
      </c>
    </row>
    <row r="39" spans="1:5">
      <c r="E39" t="s">
        <v>64</v>
      </c>
    </row>
    <row r="40" spans="1:5">
      <c r="E40" t="s">
        <v>65</v>
      </c>
    </row>
    <row r="41" spans="1:5">
      <c r="E41" t="s">
        <v>66</v>
      </c>
    </row>
    <row r="42" spans="1:5">
      <c r="E42" t="s">
        <v>70</v>
      </c>
    </row>
    <row r="43" spans="1:5">
      <c r="E43" t="s">
        <v>68</v>
      </c>
    </row>
    <row r="45" spans="1:5">
      <c r="B45" t="s">
        <v>72</v>
      </c>
    </row>
    <row r="46" spans="1:5">
      <c r="B46" t="s">
        <v>73</v>
      </c>
    </row>
    <row r="47" spans="1:5">
      <c r="C47" t="s">
        <v>76</v>
      </c>
    </row>
    <row r="48" spans="1:5">
      <c r="C48" t="s">
        <v>77</v>
      </c>
    </row>
    <row r="49" spans="2:3">
      <c r="C49" t="s">
        <v>84</v>
      </c>
    </row>
    <row r="50" spans="2:3">
      <c r="C50" t="s">
        <v>78</v>
      </c>
    </row>
    <row r="51" spans="2:3">
      <c r="C51" t="s">
        <v>74</v>
      </c>
    </row>
    <row r="53" spans="2:3">
      <c r="B53" t="s">
        <v>79</v>
      </c>
    </row>
    <row r="54" spans="2:3">
      <c r="B54" t="s">
        <v>80</v>
      </c>
    </row>
    <row r="55" spans="2:3">
      <c r="B55" t="s">
        <v>50</v>
      </c>
    </row>
    <row r="56" spans="2:3">
      <c r="B56" t="s">
        <v>81</v>
      </c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customSheetViews>
    <customSheetView guid="{A1A80B5C-2CE2-4C99-93FF-BF9E8876EAD0}" scale="85" showRuler="0">
      <selection activeCell="A2" sqref="A2"/>
      <pageMargins left="0.78740157480314965" right="0.35433070866141736" top="0.62992125984251968" bottom="0.6692913385826772" header="0.51181102362204722" footer="0.51181102362204722"/>
      <pageSetup paperSize="9" scale="90" orientation="portrait" r:id="rId1"/>
      <headerFooter alignWithMargins="0"/>
    </customSheetView>
  </customSheetViews>
  <phoneticPr fontId="3" type="noConversion"/>
  <pageMargins left="0.78740157480314965" right="0.35433070866141736" top="0.62992125984251968" bottom="0.6692913385826772" header="0.51181102362204722" footer="0.51181102362204722"/>
  <pageSetup paperSize="9"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IT327"/>
  <sheetViews>
    <sheetView tabSelected="1" view="pageBreakPreview" topLeftCell="A25" zoomScale="82" zoomScaleNormal="70" zoomScaleSheetLayoutView="82" workbookViewId="0">
      <selection activeCell="N7" sqref="M7:N7"/>
    </sheetView>
  </sheetViews>
  <sheetFormatPr defaultRowHeight="15.75"/>
  <cols>
    <col min="1" max="1" width="12.7109375" style="115" customWidth="1"/>
    <col min="2" max="2" width="8.42578125" style="101" customWidth="1"/>
    <col min="3" max="3" width="64.7109375" style="101" customWidth="1"/>
    <col min="4" max="4" width="16.42578125" style="101" customWidth="1"/>
    <col min="5" max="5" width="15.5703125" style="101" customWidth="1"/>
    <col min="6" max="6" width="19.7109375" style="101" customWidth="1"/>
    <col min="7" max="7" width="9.7109375" style="101" customWidth="1"/>
    <col min="8" max="8" width="11.7109375" style="101" customWidth="1"/>
    <col min="9" max="9" width="9.7109375" style="101" customWidth="1"/>
    <col min="10" max="10" width="11.7109375" style="101" customWidth="1"/>
    <col min="11" max="11" width="9.7109375" style="101" customWidth="1"/>
    <col min="12" max="12" width="11.5703125" style="101" customWidth="1"/>
    <col min="13" max="13" width="9.7109375" style="101" customWidth="1"/>
    <col min="14" max="14" width="11.7109375" style="101" customWidth="1"/>
    <col min="15" max="15" width="15.28515625" style="1" bestFit="1" customWidth="1"/>
    <col min="16" max="16" width="12.140625" style="1" customWidth="1"/>
    <col min="17" max="17" width="7.28515625" style="1" customWidth="1"/>
    <col min="18" max="18" width="6.85546875" style="1" customWidth="1"/>
    <col min="19" max="19" width="9.140625" style="1" customWidth="1"/>
  </cols>
  <sheetData>
    <row r="1" spans="1:254" ht="36" customHeight="1" thickBot="1">
      <c r="B1" s="642" t="s">
        <v>35</v>
      </c>
      <c r="C1" s="642" t="s">
        <v>36</v>
      </c>
      <c r="D1" s="642" t="s">
        <v>37</v>
      </c>
      <c r="E1" s="642" t="s">
        <v>92</v>
      </c>
      <c r="F1" s="642" t="s">
        <v>18</v>
      </c>
      <c r="G1" s="645" t="s">
        <v>100</v>
      </c>
      <c r="H1" s="646"/>
      <c r="I1" s="646"/>
      <c r="J1" s="646"/>
      <c r="K1" s="646"/>
      <c r="L1" s="646"/>
      <c r="M1" s="646"/>
      <c r="N1" s="647"/>
      <c r="O1" s="134"/>
      <c r="P1" s="134"/>
      <c r="Q1" s="134"/>
      <c r="R1" s="134"/>
    </row>
    <row r="2" spans="1:254" ht="15.75" customHeight="1" thickBot="1">
      <c r="B2" s="643"/>
      <c r="C2" s="643"/>
      <c r="D2" s="643"/>
      <c r="E2" s="643"/>
      <c r="F2" s="643"/>
      <c r="G2" s="645" t="s">
        <v>553</v>
      </c>
      <c r="H2" s="648"/>
      <c r="I2" s="645" t="s">
        <v>575</v>
      </c>
      <c r="J2" s="648"/>
      <c r="K2" s="645" t="s">
        <v>554</v>
      </c>
      <c r="L2" s="648"/>
      <c r="M2" s="645" t="s">
        <v>554</v>
      </c>
      <c r="N2" s="648"/>
      <c r="O2" s="134"/>
      <c r="P2" s="134"/>
      <c r="Q2" s="134"/>
      <c r="R2" s="134"/>
    </row>
    <row r="3" spans="1:254" ht="16.5" thickBot="1">
      <c r="B3" s="644"/>
      <c r="C3" s="644"/>
      <c r="D3" s="644"/>
      <c r="E3" s="644"/>
      <c r="F3" s="644"/>
      <c r="G3" s="118" t="s">
        <v>38</v>
      </c>
      <c r="H3" s="118" t="s">
        <v>39</v>
      </c>
      <c r="I3" s="118" t="s">
        <v>38</v>
      </c>
      <c r="J3" s="118" t="s">
        <v>39</v>
      </c>
      <c r="K3" s="118" t="s">
        <v>38</v>
      </c>
      <c r="L3" s="118" t="s">
        <v>39</v>
      </c>
      <c r="M3" s="118" t="s">
        <v>38</v>
      </c>
      <c r="N3" s="118" t="s">
        <v>39</v>
      </c>
      <c r="O3" s="134"/>
      <c r="P3" s="134"/>
      <c r="Q3" s="134"/>
      <c r="R3" s="134"/>
    </row>
    <row r="4" spans="1:254">
      <c r="B4" s="119" t="s">
        <v>115</v>
      </c>
      <c r="C4" s="120" t="s">
        <v>116</v>
      </c>
      <c r="D4" s="120" t="s">
        <v>117</v>
      </c>
      <c r="E4" s="120" t="s">
        <v>118</v>
      </c>
      <c r="F4" s="119" t="s">
        <v>119</v>
      </c>
      <c r="G4" s="121" t="s">
        <v>120</v>
      </c>
      <c r="H4" s="121" t="s">
        <v>121</v>
      </c>
      <c r="I4" s="122">
        <v>8</v>
      </c>
      <c r="J4" s="123">
        <v>9</v>
      </c>
      <c r="K4" s="124">
        <v>10</v>
      </c>
      <c r="L4" s="123">
        <v>11</v>
      </c>
      <c r="M4" s="124">
        <v>12</v>
      </c>
      <c r="N4" s="123">
        <v>13</v>
      </c>
      <c r="O4" s="125"/>
      <c r="P4" s="125"/>
      <c r="Q4" s="125"/>
      <c r="R4" s="125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  <c r="DO4" s="99"/>
      <c r="DP4" s="99"/>
      <c r="DQ4" s="99"/>
      <c r="DR4" s="99"/>
      <c r="DS4" s="99"/>
      <c r="DT4" s="99"/>
      <c r="DU4" s="99"/>
      <c r="DV4" s="99"/>
      <c r="DW4" s="99"/>
      <c r="DX4" s="99"/>
      <c r="DY4" s="99"/>
      <c r="DZ4" s="99"/>
      <c r="EA4" s="99"/>
      <c r="EB4" s="99"/>
      <c r="EC4" s="99"/>
      <c r="ED4" s="99"/>
      <c r="EE4" s="99"/>
      <c r="EF4" s="99"/>
      <c r="EG4" s="99"/>
      <c r="EH4" s="99"/>
      <c r="EI4" s="99"/>
      <c r="EJ4" s="99"/>
      <c r="EK4" s="99"/>
      <c r="EL4" s="99"/>
      <c r="EM4" s="99"/>
      <c r="EN4" s="99"/>
      <c r="EO4" s="99"/>
      <c r="EP4" s="99"/>
      <c r="EQ4" s="99"/>
      <c r="ER4" s="99"/>
      <c r="ES4" s="99"/>
      <c r="ET4" s="99"/>
      <c r="EU4" s="99"/>
      <c r="EV4" s="99"/>
      <c r="EW4" s="99"/>
      <c r="EX4" s="99"/>
      <c r="EY4" s="99"/>
      <c r="EZ4" s="99"/>
      <c r="FA4" s="99"/>
      <c r="FB4" s="99"/>
      <c r="FC4" s="99"/>
      <c r="FD4" s="99"/>
      <c r="FE4" s="99"/>
      <c r="FF4" s="99"/>
      <c r="FG4" s="99"/>
      <c r="FH4" s="99"/>
      <c r="FI4" s="99"/>
      <c r="FJ4" s="99"/>
      <c r="FK4" s="99"/>
      <c r="FL4" s="99"/>
      <c r="FM4" s="99"/>
      <c r="FN4" s="99"/>
      <c r="FO4" s="99"/>
      <c r="FP4" s="99"/>
      <c r="FQ4" s="99"/>
      <c r="FR4" s="99"/>
      <c r="FS4" s="99"/>
      <c r="FT4" s="99"/>
      <c r="FU4" s="99"/>
      <c r="FV4" s="99"/>
      <c r="FW4" s="99"/>
      <c r="FX4" s="99"/>
      <c r="FY4" s="99"/>
      <c r="FZ4" s="99"/>
      <c r="GA4" s="99"/>
      <c r="GB4" s="99"/>
      <c r="GC4" s="99"/>
      <c r="GD4" s="99"/>
      <c r="GE4" s="99"/>
      <c r="GF4" s="99"/>
      <c r="GG4" s="99"/>
      <c r="GH4" s="99"/>
      <c r="GI4" s="99"/>
      <c r="GJ4" s="99"/>
      <c r="GK4" s="99"/>
      <c r="GL4" s="99"/>
      <c r="GM4" s="99"/>
      <c r="GN4" s="99"/>
      <c r="GO4" s="99"/>
      <c r="GP4" s="99"/>
      <c r="GQ4" s="99"/>
      <c r="GR4" s="99"/>
      <c r="GS4" s="99"/>
      <c r="GT4" s="99"/>
      <c r="GU4" s="99"/>
      <c r="GV4" s="99"/>
      <c r="GW4" s="99"/>
      <c r="GX4" s="99"/>
      <c r="GY4" s="99"/>
      <c r="GZ4" s="99"/>
      <c r="HA4" s="99"/>
      <c r="HB4" s="99"/>
      <c r="HC4" s="99"/>
      <c r="HD4" s="99"/>
      <c r="HE4" s="99"/>
      <c r="HF4" s="99"/>
      <c r="HG4" s="99"/>
      <c r="HH4" s="99"/>
      <c r="HI4" s="99"/>
      <c r="HJ4" s="99"/>
      <c r="HK4" s="99"/>
      <c r="HL4" s="99"/>
      <c r="HM4" s="99"/>
      <c r="HN4" s="99"/>
      <c r="HO4" s="99"/>
      <c r="HP4" s="99"/>
      <c r="HQ4" s="99"/>
      <c r="HR4" s="99"/>
      <c r="HS4" s="99"/>
      <c r="HT4" s="99"/>
      <c r="HU4" s="99"/>
      <c r="HV4" s="99"/>
      <c r="HW4" s="99"/>
      <c r="HX4" s="99"/>
      <c r="HY4" s="99"/>
      <c r="HZ4" s="99"/>
      <c r="IA4" s="99"/>
      <c r="IB4" s="99"/>
      <c r="IC4" s="99"/>
      <c r="ID4" s="99"/>
      <c r="IE4" s="99"/>
      <c r="IF4" s="99"/>
      <c r="IG4" s="99"/>
      <c r="IH4" s="99"/>
      <c r="II4" s="99"/>
      <c r="IJ4" s="99"/>
    </row>
    <row r="5" spans="1:254" ht="51.75" customHeight="1" thickBot="1">
      <c r="B5" s="192"/>
      <c r="C5" s="193" t="s">
        <v>122</v>
      </c>
      <c r="D5" s="194"/>
      <c r="E5" s="165"/>
      <c r="F5" s="195"/>
      <c r="G5" s="650" t="s">
        <v>555</v>
      </c>
      <c r="H5" s="651"/>
      <c r="I5" s="650" t="s">
        <v>574</v>
      </c>
      <c r="J5" s="651"/>
      <c r="K5" s="650"/>
      <c r="L5" s="651"/>
      <c r="M5" s="650"/>
      <c r="N5" s="651"/>
      <c r="O5" s="652" t="s">
        <v>159</v>
      </c>
      <c r="P5" s="652"/>
      <c r="Q5" s="652"/>
      <c r="R5" s="652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  <c r="DS5" s="99"/>
      <c r="DT5" s="99"/>
      <c r="DU5" s="99"/>
      <c r="DV5" s="99"/>
      <c r="DW5" s="99"/>
      <c r="DX5" s="99"/>
      <c r="DY5" s="99"/>
      <c r="DZ5" s="99"/>
      <c r="EA5" s="99"/>
      <c r="EB5" s="99"/>
      <c r="EC5" s="99"/>
      <c r="ED5" s="99"/>
      <c r="EE5" s="99"/>
      <c r="EF5" s="99"/>
      <c r="EG5" s="99"/>
      <c r="EH5" s="99"/>
      <c r="EI5" s="99"/>
      <c r="EJ5" s="99"/>
      <c r="EK5" s="99"/>
      <c r="EL5" s="99"/>
      <c r="EM5" s="99"/>
      <c r="EN5" s="99"/>
      <c r="EO5" s="99"/>
      <c r="EP5" s="99"/>
      <c r="EQ5" s="99"/>
      <c r="ER5" s="99"/>
      <c r="ES5" s="99"/>
      <c r="ET5" s="99"/>
      <c r="EU5" s="99"/>
      <c r="EV5" s="99"/>
      <c r="EW5" s="99"/>
      <c r="EX5" s="99"/>
      <c r="EY5" s="99"/>
      <c r="EZ5" s="99"/>
      <c r="FA5" s="99"/>
      <c r="FB5" s="99"/>
      <c r="FC5" s="99"/>
      <c r="FD5" s="99"/>
      <c r="FE5" s="99"/>
      <c r="FF5" s="99"/>
      <c r="FG5" s="99"/>
      <c r="FH5" s="99"/>
      <c r="FI5" s="99"/>
      <c r="FJ5" s="99"/>
      <c r="FK5" s="99"/>
      <c r="FL5" s="99"/>
      <c r="FM5" s="99"/>
      <c r="FN5" s="99"/>
      <c r="FO5" s="99"/>
      <c r="FP5" s="99"/>
      <c r="FQ5" s="99"/>
      <c r="FR5" s="99"/>
      <c r="FS5" s="99"/>
      <c r="FT5" s="99"/>
      <c r="FU5" s="99"/>
      <c r="FV5" s="99"/>
      <c r="FW5" s="99"/>
      <c r="FX5" s="99"/>
      <c r="FY5" s="99"/>
      <c r="FZ5" s="99"/>
      <c r="GA5" s="99"/>
      <c r="GB5" s="99"/>
      <c r="GC5" s="99"/>
      <c r="GD5" s="99"/>
      <c r="GE5" s="99"/>
      <c r="GF5" s="99"/>
      <c r="GG5" s="99"/>
      <c r="GH5" s="99"/>
      <c r="GI5" s="99"/>
      <c r="GJ5" s="99"/>
      <c r="GK5" s="99"/>
      <c r="GL5" s="99"/>
      <c r="GM5" s="99"/>
      <c r="GN5" s="99"/>
      <c r="GO5" s="99"/>
      <c r="GP5" s="99"/>
      <c r="GQ5" s="99"/>
      <c r="GR5" s="99"/>
      <c r="GS5" s="99"/>
      <c r="GT5" s="99"/>
      <c r="GU5" s="99"/>
      <c r="GV5" s="99"/>
      <c r="GW5" s="99"/>
      <c r="GX5" s="99"/>
      <c r="GY5" s="99"/>
      <c r="GZ5" s="99"/>
      <c r="HA5" s="99"/>
      <c r="HB5" s="99"/>
      <c r="HC5" s="99"/>
      <c r="HD5" s="99"/>
      <c r="HE5" s="99"/>
      <c r="HF5" s="99"/>
      <c r="HG5" s="99"/>
      <c r="HH5" s="99"/>
      <c r="HI5" s="99"/>
      <c r="HJ5" s="99"/>
      <c r="HK5" s="99"/>
      <c r="HL5" s="99"/>
      <c r="HM5" s="99"/>
      <c r="HN5" s="99"/>
      <c r="HO5" s="99"/>
      <c r="HP5" s="99"/>
      <c r="HQ5" s="99"/>
      <c r="HR5" s="99"/>
      <c r="HS5" s="99"/>
      <c r="HT5" s="99"/>
      <c r="HU5" s="99"/>
      <c r="HV5" s="99"/>
      <c r="HW5" s="99"/>
      <c r="HX5" s="99"/>
      <c r="HY5" s="99"/>
      <c r="HZ5" s="99"/>
      <c r="IA5" s="99"/>
      <c r="IB5" s="99"/>
      <c r="IC5" s="99"/>
      <c r="ID5" s="99"/>
      <c r="IE5" s="99"/>
      <c r="IF5" s="99"/>
      <c r="IG5" s="99"/>
      <c r="IH5" s="99"/>
      <c r="II5" s="99"/>
      <c r="IJ5" s="99"/>
    </row>
    <row r="6" spans="1:254" ht="16.5" customHeight="1" thickBot="1">
      <c r="B6" s="196" t="s">
        <v>115</v>
      </c>
      <c r="C6" s="197" t="s">
        <v>160</v>
      </c>
      <c r="D6" s="174"/>
      <c r="E6" s="198"/>
      <c r="F6" s="199"/>
      <c r="G6" s="199"/>
      <c r="H6" s="199"/>
      <c r="I6" s="199"/>
      <c r="J6" s="199"/>
      <c r="K6" s="199"/>
      <c r="L6" s="199"/>
      <c r="M6" s="199"/>
      <c r="N6" s="199"/>
      <c r="O6" s="127" t="s">
        <v>170</v>
      </c>
      <c r="P6" s="127" t="s">
        <v>171</v>
      </c>
      <c r="Q6" s="125" t="s">
        <v>172</v>
      </c>
      <c r="R6" s="125"/>
      <c r="S6" s="99" t="s">
        <v>192</v>
      </c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99"/>
      <c r="CC6" s="99"/>
      <c r="CD6" s="99"/>
      <c r="CE6" s="99"/>
      <c r="CF6" s="99"/>
      <c r="CG6" s="99"/>
      <c r="CH6" s="99"/>
      <c r="CI6" s="99"/>
      <c r="CJ6" s="99"/>
      <c r="CK6" s="99"/>
      <c r="CL6" s="99"/>
      <c r="CM6" s="99"/>
      <c r="CN6" s="99"/>
      <c r="CO6" s="99"/>
      <c r="CP6" s="99"/>
      <c r="CQ6" s="99"/>
      <c r="CR6" s="99"/>
      <c r="CS6" s="99"/>
      <c r="CT6" s="99"/>
      <c r="CU6" s="99"/>
      <c r="CV6" s="99"/>
      <c r="CW6" s="99"/>
      <c r="CX6" s="99"/>
      <c r="CY6" s="99"/>
      <c r="CZ6" s="99"/>
      <c r="DA6" s="99"/>
      <c r="DB6" s="99"/>
      <c r="DC6" s="99"/>
      <c r="DD6" s="99"/>
      <c r="DE6" s="99"/>
      <c r="DF6" s="99"/>
      <c r="DG6" s="99"/>
      <c r="DH6" s="99"/>
      <c r="DI6" s="99"/>
      <c r="DJ6" s="99"/>
      <c r="DK6" s="99"/>
      <c r="DL6" s="99"/>
      <c r="DM6" s="99"/>
      <c r="DN6" s="99"/>
      <c r="DO6" s="99"/>
      <c r="DP6" s="99"/>
      <c r="DQ6" s="99"/>
      <c r="DR6" s="99"/>
      <c r="DS6" s="99"/>
      <c r="DT6" s="99"/>
      <c r="DU6" s="99"/>
      <c r="DV6" s="99"/>
      <c r="DW6" s="99"/>
      <c r="DX6" s="99"/>
      <c r="DY6" s="99"/>
      <c r="DZ6" s="99"/>
      <c r="EA6" s="99"/>
      <c r="EB6" s="99"/>
      <c r="EC6" s="99"/>
      <c r="ED6" s="99"/>
      <c r="EE6" s="99"/>
      <c r="EF6" s="99"/>
      <c r="EG6" s="99"/>
      <c r="EH6" s="99"/>
      <c r="EI6" s="99"/>
      <c r="EJ6" s="99"/>
      <c r="EK6" s="99"/>
      <c r="EL6" s="99"/>
      <c r="EM6" s="99"/>
      <c r="EN6" s="99"/>
      <c r="EO6" s="99"/>
      <c r="EP6" s="99"/>
      <c r="EQ6" s="99"/>
      <c r="ER6" s="99"/>
      <c r="ES6" s="99"/>
      <c r="ET6" s="99"/>
      <c r="EU6" s="99"/>
      <c r="EV6" s="99"/>
      <c r="EW6" s="99"/>
      <c r="EX6" s="99"/>
      <c r="EY6" s="99"/>
      <c r="EZ6" s="99"/>
      <c r="FA6" s="99"/>
      <c r="FB6" s="99"/>
      <c r="FC6" s="99"/>
      <c r="FD6" s="99"/>
      <c r="FE6" s="99"/>
      <c r="FF6" s="99"/>
      <c r="FG6" s="99"/>
      <c r="FH6" s="99"/>
      <c r="FI6" s="99"/>
      <c r="FJ6" s="99"/>
      <c r="FK6" s="99"/>
      <c r="FL6" s="99"/>
      <c r="FM6" s="99"/>
      <c r="FN6" s="99"/>
      <c r="FO6" s="99"/>
      <c r="FP6" s="99"/>
      <c r="FQ6" s="99"/>
      <c r="FR6" s="99"/>
      <c r="FS6" s="99"/>
      <c r="FT6" s="99"/>
      <c r="FU6" s="99"/>
      <c r="FV6" s="99"/>
      <c r="FW6" s="99"/>
      <c r="FX6" s="99"/>
      <c r="FY6" s="99"/>
      <c r="FZ6" s="99"/>
      <c r="GA6" s="99"/>
      <c r="GB6" s="99"/>
      <c r="GC6" s="99"/>
      <c r="GD6" s="99"/>
      <c r="GE6" s="99"/>
      <c r="GF6" s="99"/>
      <c r="GG6" s="99"/>
      <c r="GH6" s="99"/>
      <c r="GI6" s="99"/>
      <c r="GJ6" s="99"/>
      <c r="GK6" s="99"/>
      <c r="GL6" s="99"/>
      <c r="GM6" s="99"/>
      <c r="GN6" s="99"/>
      <c r="GO6" s="99"/>
      <c r="GP6" s="99"/>
      <c r="GQ6" s="99"/>
      <c r="GR6" s="99"/>
      <c r="GS6" s="99"/>
      <c r="GT6" s="99"/>
      <c r="GU6" s="99"/>
      <c r="GV6" s="99"/>
      <c r="GW6" s="99"/>
      <c r="GX6" s="99"/>
      <c r="GY6" s="99"/>
      <c r="GZ6" s="99"/>
      <c r="HA6" s="99"/>
      <c r="HB6" s="99"/>
      <c r="HC6" s="99"/>
      <c r="HD6" s="99"/>
      <c r="HE6" s="99"/>
      <c r="HF6" s="99"/>
      <c r="HG6" s="99"/>
      <c r="HH6" s="99"/>
      <c r="HI6" s="99"/>
      <c r="HJ6" s="99"/>
      <c r="HK6" s="99"/>
      <c r="HL6" s="99"/>
      <c r="HM6" s="99"/>
      <c r="HN6" s="99"/>
      <c r="HO6" s="99"/>
      <c r="HP6" s="99"/>
      <c r="HQ6" s="99"/>
      <c r="HR6" s="99"/>
      <c r="HS6" s="99"/>
      <c r="HT6" s="99"/>
      <c r="HU6" s="99"/>
      <c r="HV6" s="99"/>
      <c r="HW6" s="99"/>
      <c r="HX6" s="99"/>
      <c r="HY6" s="99"/>
      <c r="HZ6" s="99"/>
      <c r="IA6" s="99"/>
      <c r="IB6" s="99"/>
      <c r="IC6" s="99"/>
      <c r="ID6" s="99"/>
      <c r="IE6" s="99"/>
      <c r="IF6" s="99"/>
      <c r="IG6" s="99"/>
      <c r="IH6" s="99"/>
      <c r="II6" s="99"/>
      <c r="IJ6" s="99"/>
    </row>
    <row r="7" spans="1:254" ht="73.5" customHeight="1">
      <c r="B7" s="136" t="s">
        <v>123</v>
      </c>
      <c r="C7" s="286" t="s">
        <v>408</v>
      </c>
      <c r="D7" s="137" t="s">
        <v>560</v>
      </c>
      <c r="E7" s="138">
        <v>597.12199999999996</v>
      </c>
      <c r="F7" s="139"/>
      <c r="G7" s="138" t="s">
        <v>264</v>
      </c>
      <c r="H7" s="138">
        <v>597.12199999999996</v>
      </c>
      <c r="I7" s="138" t="s">
        <v>264</v>
      </c>
      <c r="J7" s="138">
        <v>597.12199999999996</v>
      </c>
      <c r="K7" s="138"/>
      <c r="L7" s="138"/>
      <c r="M7" s="138"/>
      <c r="N7" s="138"/>
      <c r="O7" s="140" t="e">
        <f>Q6*0.97</f>
        <v>#VALUE!</v>
      </c>
      <c r="P7" s="140">
        <v>11.492000000000001</v>
      </c>
      <c r="Q7" s="99" t="e">
        <f>O7+P7</f>
        <v>#VALUE!</v>
      </c>
      <c r="R7" s="141"/>
      <c r="S7" s="99"/>
      <c r="T7" s="142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99"/>
      <c r="DD7" s="99"/>
      <c r="DE7" s="99"/>
      <c r="DF7" s="99"/>
      <c r="DG7" s="99"/>
      <c r="DH7" s="99"/>
      <c r="DI7" s="99"/>
      <c r="DJ7" s="99"/>
      <c r="DK7" s="99"/>
      <c r="DL7" s="99"/>
      <c r="DM7" s="99"/>
      <c r="DN7" s="99"/>
      <c r="DO7" s="99"/>
      <c r="DP7" s="99"/>
      <c r="DQ7" s="99"/>
      <c r="DR7" s="99"/>
      <c r="DS7" s="99"/>
      <c r="DT7" s="99"/>
      <c r="DU7" s="99"/>
      <c r="DV7" s="99"/>
      <c r="DW7" s="99"/>
      <c r="DX7" s="99"/>
      <c r="DY7" s="99"/>
      <c r="DZ7" s="99"/>
      <c r="EA7" s="99"/>
      <c r="EB7" s="99"/>
      <c r="EC7" s="99"/>
      <c r="ED7" s="99"/>
      <c r="EE7" s="99"/>
      <c r="EF7" s="99"/>
      <c r="EG7" s="99"/>
      <c r="EH7" s="99"/>
      <c r="EI7" s="99"/>
      <c r="EJ7" s="99"/>
      <c r="EK7" s="99"/>
      <c r="EL7" s="99"/>
      <c r="EM7" s="99"/>
      <c r="EN7" s="99"/>
      <c r="EO7" s="99"/>
      <c r="EP7" s="99"/>
      <c r="EQ7" s="99"/>
      <c r="ER7" s="99"/>
      <c r="ES7" s="99"/>
      <c r="ET7" s="99"/>
      <c r="EU7" s="99"/>
      <c r="EV7" s="99"/>
      <c r="EW7" s="99"/>
      <c r="EX7" s="99"/>
      <c r="EY7" s="99"/>
      <c r="EZ7" s="99"/>
      <c r="FA7" s="99"/>
      <c r="FB7" s="99"/>
      <c r="FC7" s="99"/>
      <c r="FD7" s="99"/>
      <c r="FE7" s="99"/>
      <c r="FF7" s="99"/>
      <c r="FG7" s="99"/>
      <c r="FH7" s="99"/>
      <c r="FI7" s="99"/>
      <c r="FJ7" s="99"/>
      <c r="FK7" s="99"/>
      <c r="FL7" s="99"/>
      <c r="FM7" s="99"/>
      <c r="FN7" s="99"/>
      <c r="FO7" s="99"/>
      <c r="FP7" s="99"/>
      <c r="FQ7" s="99"/>
      <c r="FR7" s="99"/>
      <c r="FS7" s="99"/>
      <c r="FT7" s="99"/>
      <c r="FU7" s="99"/>
      <c r="FV7" s="99"/>
      <c r="FW7" s="99"/>
      <c r="FX7" s="99"/>
      <c r="FY7" s="99"/>
      <c r="FZ7" s="99"/>
      <c r="GA7" s="99"/>
      <c r="GB7" s="99"/>
      <c r="GC7" s="99"/>
      <c r="GD7" s="99"/>
      <c r="GE7" s="99"/>
      <c r="GF7" s="99"/>
      <c r="GG7" s="99"/>
      <c r="GH7" s="99"/>
      <c r="GI7" s="99"/>
      <c r="GJ7" s="99"/>
      <c r="GK7" s="99"/>
      <c r="GL7" s="99"/>
      <c r="GM7" s="99"/>
      <c r="GN7" s="99"/>
      <c r="GO7" s="99"/>
      <c r="GP7" s="99"/>
      <c r="GQ7" s="99"/>
      <c r="GR7" s="99"/>
      <c r="GS7" s="99"/>
      <c r="GT7" s="99"/>
      <c r="GU7" s="99"/>
      <c r="GV7" s="99"/>
      <c r="GW7" s="99"/>
      <c r="GX7" s="99"/>
      <c r="GY7" s="99"/>
      <c r="GZ7" s="99"/>
      <c r="HA7" s="99"/>
      <c r="HB7" s="99"/>
      <c r="HC7" s="99"/>
      <c r="HD7" s="99"/>
      <c r="HE7" s="99"/>
      <c r="HF7" s="99"/>
      <c r="HG7" s="99"/>
      <c r="HH7" s="99"/>
      <c r="HI7" s="99"/>
      <c r="HJ7" s="99"/>
      <c r="HK7" s="99"/>
      <c r="HL7" s="99"/>
      <c r="HM7" s="99"/>
      <c r="HN7" s="99"/>
      <c r="HO7" s="99"/>
      <c r="HP7" s="99"/>
      <c r="HQ7" s="99"/>
      <c r="HR7" s="99"/>
      <c r="HS7" s="99"/>
      <c r="HT7" s="99"/>
      <c r="HU7" s="99"/>
      <c r="HV7" s="99"/>
      <c r="HW7" s="99"/>
      <c r="HX7" s="99"/>
      <c r="HY7" s="99"/>
      <c r="HZ7" s="99"/>
      <c r="IA7" s="99"/>
      <c r="IB7" s="99"/>
      <c r="IC7" s="99"/>
      <c r="ID7" s="99"/>
      <c r="IE7" s="99"/>
      <c r="IF7" s="99"/>
      <c r="IG7" s="99"/>
      <c r="IH7" s="99"/>
      <c r="II7" s="99"/>
      <c r="IJ7" s="99"/>
    </row>
    <row r="8" spans="1:254" ht="31.5">
      <c r="B8" s="136" t="s">
        <v>124</v>
      </c>
      <c r="C8" s="287" t="s">
        <v>225</v>
      </c>
      <c r="D8" s="137" t="s">
        <v>560</v>
      </c>
      <c r="E8" s="138">
        <v>18.466999999999999</v>
      </c>
      <c r="F8" s="139"/>
      <c r="G8" s="138" t="s">
        <v>264</v>
      </c>
      <c r="H8" s="138">
        <v>18.466999999999999</v>
      </c>
      <c r="I8" s="138" t="s">
        <v>264</v>
      </c>
      <c r="J8" s="138">
        <v>18.466999999999999</v>
      </c>
      <c r="K8" s="138"/>
      <c r="L8" s="138"/>
      <c r="M8" s="138"/>
      <c r="N8" s="138"/>
      <c r="O8" s="140" t="e">
        <f>Q6*0.03</f>
        <v>#VALUE!</v>
      </c>
      <c r="P8" s="140"/>
      <c r="Q8" s="99"/>
      <c r="R8" s="141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99"/>
      <c r="DA8" s="99"/>
      <c r="DB8" s="99"/>
      <c r="DC8" s="99"/>
      <c r="DD8" s="99"/>
      <c r="DE8" s="99"/>
      <c r="DF8" s="99"/>
      <c r="DG8" s="99"/>
      <c r="DH8" s="99"/>
      <c r="DI8" s="99"/>
      <c r="DJ8" s="99"/>
      <c r="DK8" s="99"/>
      <c r="DL8" s="99"/>
      <c r="DM8" s="99"/>
      <c r="DN8" s="99"/>
      <c r="DO8" s="99"/>
      <c r="DP8" s="99"/>
      <c r="DQ8" s="99"/>
      <c r="DR8" s="99"/>
      <c r="DS8" s="99"/>
      <c r="DT8" s="99"/>
      <c r="DU8" s="99"/>
      <c r="DV8" s="99"/>
      <c r="DW8" s="99"/>
      <c r="DX8" s="99"/>
      <c r="DY8" s="99"/>
      <c r="DZ8" s="99"/>
      <c r="EA8" s="99"/>
      <c r="EB8" s="99"/>
      <c r="EC8" s="99"/>
      <c r="ED8" s="99"/>
      <c r="EE8" s="99"/>
      <c r="EF8" s="99"/>
      <c r="EG8" s="99"/>
      <c r="EH8" s="99"/>
      <c r="EI8" s="99"/>
      <c r="EJ8" s="99"/>
      <c r="EK8" s="99"/>
      <c r="EL8" s="99"/>
      <c r="EM8" s="99"/>
      <c r="EN8" s="99"/>
      <c r="EO8" s="99"/>
      <c r="EP8" s="99"/>
      <c r="EQ8" s="99"/>
      <c r="ER8" s="99"/>
      <c r="ES8" s="99"/>
      <c r="ET8" s="99"/>
      <c r="EU8" s="99"/>
      <c r="EV8" s="99"/>
      <c r="EW8" s="99"/>
      <c r="EX8" s="99"/>
      <c r="EY8" s="99"/>
      <c r="EZ8" s="99"/>
      <c r="FA8" s="99"/>
      <c r="FB8" s="99"/>
      <c r="FC8" s="99"/>
      <c r="FD8" s="99"/>
      <c r="FE8" s="99"/>
      <c r="FF8" s="99"/>
      <c r="FG8" s="99"/>
      <c r="FH8" s="99"/>
      <c r="FI8" s="99"/>
      <c r="FJ8" s="99"/>
      <c r="FK8" s="99"/>
      <c r="FL8" s="99"/>
      <c r="FM8" s="99"/>
      <c r="FN8" s="99"/>
      <c r="FO8" s="99"/>
      <c r="FP8" s="99"/>
      <c r="FQ8" s="99"/>
      <c r="FR8" s="99"/>
      <c r="FS8" s="99"/>
      <c r="FT8" s="99"/>
      <c r="FU8" s="99"/>
      <c r="FV8" s="99"/>
      <c r="FW8" s="99"/>
      <c r="FX8" s="99"/>
      <c r="FY8" s="99"/>
      <c r="FZ8" s="99"/>
      <c r="GA8" s="99"/>
      <c r="GB8" s="99"/>
      <c r="GC8" s="99"/>
      <c r="GD8" s="99"/>
      <c r="GE8" s="99"/>
      <c r="GF8" s="99"/>
      <c r="GG8" s="99"/>
      <c r="GH8" s="99"/>
      <c r="GI8" s="99"/>
      <c r="GJ8" s="99"/>
      <c r="GK8" s="99"/>
      <c r="GL8" s="99"/>
      <c r="GM8" s="99"/>
      <c r="GN8" s="99"/>
      <c r="GO8" s="99"/>
      <c r="GP8" s="99"/>
      <c r="GQ8" s="99"/>
      <c r="GR8" s="99"/>
      <c r="GS8" s="99"/>
      <c r="GT8" s="99"/>
      <c r="GU8" s="99"/>
      <c r="GV8" s="99"/>
      <c r="GW8" s="99"/>
      <c r="GX8" s="99"/>
      <c r="GY8" s="99"/>
      <c r="GZ8" s="99"/>
      <c r="HA8" s="99"/>
      <c r="HB8" s="99"/>
      <c r="HC8" s="99"/>
      <c r="HD8" s="99"/>
      <c r="HE8" s="99"/>
      <c r="HF8" s="99"/>
      <c r="HG8" s="99"/>
      <c r="HH8" s="99"/>
      <c r="HI8" s="99"/>
      <c r="HJ8" s="99"/>
      <c r="HK8" s="99"/>
      <c r="HL8" s="99"/>
      <c r="HM8" s="99"/>
      <c r="HN8" s="99"/>
      <c r="HO8" s="99"/>
      <c r="HP8" s="99"/>
      <c r="HQ8" s="99"/>
      <c r="HR8" s="99"/>
      <c r="HS8" s="99"/>
      <c r="HT8" s="99"/>
      <c r="HU8" s="99"/>
      <c r="HV8" s="99"/>
      <c r="HW8" s="99"/>
      <c r="HX8" s="99"/>
      <c r="HY8" s="99"/>
      <c r="HZ8" s="99"/>
      <c r="IA8" s="99"/>
      <c r="IB8" s="99"/>
      <c r="IC8" s="99"/>
      <c r="ID8" s="99"/>
      <c r="IE8" s="99"/>
      <c r="IF8" s="99"/>
      <c r="IG8" s="99"/>
      <c r="IH8" s="99"/>
      <c r="II8" s="99"/>
      <c r="IJ8" s="99"/>
    </row>
    <row r="9" spans="1:254" ht="47.25">
      <c r="B9" s="136" t="s">
        <v>125</v>
      </c>
      <c r="C9" s="288" t="s">
        <v>226</v>
      </c>
      <c r="D9" s="137" t="s">
        <v>560</v>
      </c>
      <c r="E9" s="138">
        <f>E8</f>
        <v>18.466999999999999</v>
      </c>
      <c r="F9" s="143"/>
      <c r="G9" s="138" t="s">
        <v>264</v>
      </c>
      <c r="H9" s="138">
        <f>H8</f>
        <v>18.466999999999999</v>
      </c>
      <c r="I9" s="138" t="s">
        <v>264</v>
      </c>
      <c r="J9" s="138">
        <f>J8</f>
        <v>18.466999999999999</v>
      </c>
      <c r="K9" s="138"/>
      <c r="L9" s="138"/>
      <c r="M9" s="138"/>
      <c r="N9" s="138"/>
      <c r="O9" s="140" t="e">
        <f>O7+O8</f>
        <v>#VALUE!</v>
      </c>
      <c r="P9" s="140"/>
      <c r="Q9" s="99"/>
      <c r="R9" s="141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99"/>
      <c r="CN9" s="99"/>
      <c r="CO9" s="99"/>
      <c r="CP9" s="99"/>
      <c r="CQ9" s="99"/>
      <c r="CR9" s="99"/>
      <c r="CS9" s="99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/>
      <c r="DV9" s="99"/>
      <c r="DW9" s="99"/>
      <c r="DX9" s="99"/>
      <c r="DY9" s="99"/>
      <c r="DZ9" s="99"/>
      <c r="EA9" s="99"/>
      <c r="EB9" s="99"/>
      <c r="EC9" s="99"/>
      <c r="ED9" s="99"/>
      <c r="EE9" s="99"/>
      <c r="EF9" s="99"/>
      <c r="EG9" s="99"/>
      <c r="EH9" s="99"/>
      <c r="EI9" s="99"/>
      <c r="EJ9" s="99"/>
      <c r="EK9" s="99"/>
      <c r="EL9" s="99"/>
      <c r="EM9" s="99"/>
      <c r="EN9" s="99"/>
      <c r="EO9" s="99"/>
      <c r="EP9" s="99"/>
      <c r="EQ9" s="99"/>
      <c r="ER9" s="99"/>
      <c r="ES9" s="99"/>
      <c r="ET9" s="99"/>
      <c r="EU9" s="99"/>
      <c r="EV9" s="99"/>
      <c r="EW9" s="99"/>
      <c r="EX9" s="99"/>
      <c r="EY9" s="99"/>
      <c r="EZ9" s="99"/>
      <c r="FA9" s="99"/>
      <c r="FB9" s="99"/>
      <c r="FC9" s="99"/>
      <c r="FD9" s="99"/>
      <c r="FE9" s="99"/>
      <c r="FF9" s="99"/>
      <c r="FG9" s="99"/>
      <c r="FH9" s="99"/>
      <c r="FI9" s="99"/>
      <c r="FJ9" s="99"/>
      <c r="FK9" s="99"/>
      <c r="FL9" s="99"/>
      <c r="FM9" s="99"/>
      <c r="FN9" s="99"/>
      <c r="FO9" s="99"/>
      <c r="FP9" s="99"/>
      <c r="FQ9" s="99"/>
      <c r="FR9" s="99"/>
      <c r="FS9" s="99"/>
      <c r="FT9" s="99"/>
      <c r="FU9" s="99"/>
      <c r="FV9" s="99"/>
      <c r="FW9" s="99"/>
      <c r="FX9" s="99"/>
      <c r="FY9" s="99"/>
      <c r="FZ9" s="99"/>
      <c r="GA9" s="99"/>
      <c r="GB9" s="99"/>
      <c r="GC9" s="99"/>
      <c r="GD9" s="99"/>
      <c r="GE9" s="99"/>
      <c r="GF9" s="99"/>
      <c r="GG9" s="99"/>
      <c r="GH9" s="99"/>
      <c r="GI9" s="99"/>
      <c r="GJ9" s="99"/>
      <c r="GK9" s="99"/>
      <c r="GL9" s="99"/>
      <c r="GM9" s="99"/>
      <c r="GN9" s="99"/>
      <c r="GO9" s="99"/>
      <c r="GP9" s="99"/>
      <c r="GQ9" s="99"/>
      <c r="GR9" s="99"/>
      <c r="GS9" s="99"/>
      <c r="GT9" s="99"/>
      <c r="GU9" s="99"/>
      <c r="GV9" s="99"/>
      <c r="GW9" s="99"/>
      <c r="GX9" s="99"/>
      <c r="GY9" s="99"/>
      <c r="GZ9" s="99"/>
      <c r="HA9" s="99"/>
      <c r="HB9" s="99"/>
      <c r="HC9" s="99"/>
      <c r="HD9" s="99"/>
      <c r="HE9" s="99"/>
      <c r="HF9" s="99"/>
      <c r="HG9" s="99"/>
      <c r="HH9" s="99"/>
      <c r="HI9" s="99"/>
      <c r="HJ9" s="99"/>
      <c r="HK9" s="99"/>
      <c r="HL9" s="99"/>
      <c r="HM9" s="99"/>
      <c r="HN9" s="99"/>
      <c r="HO9" s="99"/>
      <c r="HP9" s="99"/>
      <c r="HQ9" s="99"/>
      <c r="HR9" s="99"/>
      <c r="HS9" s="99"/>
      <c r="HT9" s="99"/>
      <c r="HU9" s="99"/>
      <c r="HV9" s="99"/>
      <c r="HW9" s="99"/>
      <c r="HX9" s="99"/>
      <c r="HY9" s="99"/>
      <c r="HZ9" s="99"/>
      <c r="IA9" s="99"/>
      <c r="IB9" s="99"/>
      <c r="IC9" s="99"/>
      <c r="ID9" s="99"/>
      <c r="IE9" s="99"/>
      <c r="IF9" s="99"/>
      <c r="IG9" s="99"/>
      <c r="IH9" s="99"/>
      <c r="II9" s="99"/>
      <c r="IJ9" s="99"/>
    </row>
    <row r="10" spans="1:254" ht="47.25">
      <c r="B10" s="136" t="s">
        <v>126</v>
      </c>
      <c r="C10" s="287" t="s">
        <v>227</v>
      </c>
      <c r="D10" s="137" t="s">
        <v>560</v>
      </c>
      <c r="E10" s="138">
        <v>502.41</v>
      </c>
      <c r="F10" s="184" t="s">
        <v>228</v>
      </c>
      <c r="G10" s="138" t="s">
        <v>264</v>
      </c>
      <c r="H10" s="138">
        <v>502.41</v>
      </c>
      <c r="I10" s="138">
        <v>883.78</v>
      </c>
      <c r="J10" s="138">
        <v>1386.19</v>
      </c>
      <c r="K10" s="138"/>
      <c r="L10" s="138"/>
      <c r="M10" s="138"/>
      <c r="N10" s="138"/>
      <c r="O10" s="140" t="e">
        <f>O9-18*1.5*1.5*0.6-1.7*1.7*0.1-0.6*0.6*0.6*11-28.55-4.18-48*12*0.18</f>
        <v>#VALUE!</v>
      </c>
      <c r="P10" s="140" t="e">
        <f>O10*1.01*1.1</f>
        <v>#VALUE!</v>
      </c>
      <c r="Q10" s="140">
        <f>H10+883.78</f>
        <v>1386.19</v>
      </c>
      <c r="R10" s="145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  <c r="BT10" s="99"/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99"/>
      <c r="CN10" s="99"/>
      <c r="CO10" s="99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99"/>
      <c r="DA10" s="99"/>
      <c r="DB10" s="99"/>
      <c r="DC10" s="99"/>
      <c r="DD10" s="99"/>
      <c r="DE10" s="99"/>
      <c r="DF10" s="99"/>
      <c r="DG10" s="99"/>
      <c r="DH10" s="99"/>
      <c r="DI10" s="99"/>
      <c r="DJ10" s="99"/>
      <c r="DK10" s="99"/>
      <c r="DL10" s="99"/>
      <c r="DM10" s="99"/>
      <c r="DN10" s="99"/>
      <c r="DO10" s="99"/>
      <c r="DP10" s="99"/>
      <c r="DQ10" s="99"/>
      <c r="DR10" s="99"/>
      <c r="DS10" s="99"/>
      <c r="DT10" s="99"/>
      <c r="DU10" s="99"/>
      <c r="DV10" s="99"/>
      <c r="DW10" s="99"/>
      <c r="DX10" s="99"/>
      <c r="DY10" s="99"/>
      <c r="DZ10" s="99"/>
      <c r="EA10" s="99"/>
      <c r="EB10" s="99"/>
      <c r="EC10" s="99"/>
      <c r="ED10" s="99"/>
      <c r="EE10" s="99"/>
      <c r="EF10" s="99"/>
      <c r="EG10" s="99"/>
      <c r="EH10" s="99"/>
      <c r="EI10" s="99"/>
      <c r="EJ10" s="99"/>
      <c r="EK10" s="99"/>
      <c r="EL10" s="99"/>
      <c r="EM10" s="99"/>
      <c r="EN10" s="99"/>
      <c r="EO10" s="99"/>
      <c r="EP10" s="99"/>
      <c r="EQ10" s="99"/>
      <c r="ER10" s="99"/>
      <c r="ES10" s="99"/>
      <c r="ET10" s="99"/>
      <c r="EU10" s="99"/>
      <c r="EV10" s="99"/>
      <c r="EW10" s="99"/>
      <c r="EX10" s="99"/>
      <c r="EY10" s="99"/>
      <c r="EZ10" s="99"/>
      <c r="FA10" s="99"/>
      <c r="FB10" s="99"/>
      <c r="FC10" s="99"/>
      <c r="FD10" s="99"/>
      <c r="FE10" s="99"/>
      <c r="FF10" s="99"/>
      <c r="FG10" s="99"/>
      <c r="FH10" s="99"/>
      <c r="FI10" s="99"/>
      <c r="FJ10" s="99"/>
      <c r="FK10" s="99"/>
      <c r="FL10" s="99"/>
      <c r="FM10" s="99"/>
      <c r="FN10" s="99"/>
      <c r="FO10" s="99"/>
      <c r="FP10" s="99"/>
      <c r="FQ10" s="99"/>
      <c r="FR10" s="99"/>
      <c r="FS10" s="99"/>
      <c r="FT10" s="99"/>
      <c r="FU10" s="99"/>
      <c r="FV10" s="99"/>
      <c r="FW10" s="99"/>
      <c r="FX10" s="99"/>
      <c r="FY10" s="99"/>
      <c r="FZ10" s="99"/>
      <c r="GA10" s="99"/>
      <c r="GB10" s="99"/>
      <c r="GC10" s="99"/>
      <c r="GD10" s="99"/>
      <c r="GE10" s="99"/>
      <c r="GF10" s="99"/>
      <c r="GG10" s="99"/>
      <c r="GH10" s="99"/>
      <c r="GI10" s="99"/>
      <c r="GJ10" s="99"/>
      <c r="GK10" s="99"/>
      <c r="GL10" s="99"/>
      <c r="GM10" s="99"/>
      <c r="GN10" s="99"/>
      <c r="GO10" s="99"/>
      <c r="GP10" s="99"/>
      <c r="GQ10" s="99"/>
      <c r="GR10" s="99"/>
      <c r="GS10" s="99"/>
      <c r="GT10" s="99"/>
      <c r="GU10" s="99"/>
      <c r="GV10" s="99"/>
      <c r="GW10" s="99"/>
      <c r="GX10" s="99"/>
      <c r="GY10" s="99"/>
      <c r="GZ10" s="99"/>
      <c r="HA10" s="99"/>
      <c r="HB10" s="99"/>
      <c r="HC10" s="99"/>
      <c r="HD10" s="99"/>
      <c r="HE10" s="99"/>
      <c r="HF10" s="99"/>
      <c r="HG10" s="99"/>
      <c r="HH10" s="99"/>
      <c r="HI10" s="99"/>
      <c r="HJ10" s="99"/>
      <c r="HK10" s="99"/>
      <c r="HL10" s="99"/>
      <c r="HM10" s="99"/>
      <c r="HN10" s="99"/>
      <c r="HO10" s="99"/>
      <c r="HP10" s="99"/>
      <c r="HQ10" s="99"/>
      <c r="HR10" s="99"/>
      <c r="HS10" s="99"/>
      <c r="HT10" s="99"/>
      <c r="HU10" s="99"/>
      <c r="HV10" s="99"/>
      <c r="HW10" s="99"/>
      <c r="HX10" s="99"/>
      <c r="HY10" s="99"/>
      <c r="HZ10" s="99"/>
      <c r="IA10" s="99"/>
      <c r="IB10" s="99"/>
      <c r="IC10" s="99"/>
      <c r="ID10" s="99"/>
      <c r="IE10" s="99"/>
      <c r="IF10" s="99"/>
      <c r="IG10" s="99"/>
      <c r="IH10" s="99"/>
      <c r="II10" s="99"/>
      <c r="IJ10" s="99"/>
    </row>
    <row r="11" spans="1:254" ht="31.5">
      <c r="B11" s="136" t="s">
        <v>127</v>
      </c>
      <c r="C11" s="287" t="s">
        <v>229</v>
      </c>
      <c r="D11" s="137" t="s">
        <v>560</v>
      </c>
      <c r="E11" s="138">
        <v>452.214</v>
      </c>
      <c r="F11" s="146"/>
      <c r="G11" s="138" t="s">
        <v>264</v>
      </c>
      <c r="H11" s="138">
        <v>452.214</v>
      </c>
      <c r="I11" s="641">
        <v>746.41</v>
      </c>
      <c r="J11" s="138">
        <v>1198.6199999999999</v>
      </c>
      <c r="K11" s="138"/>
      <c r="L11" s="138"/>
      <c r="M11" s="138"/>
      <c r="N11" s="138"/>
      <c r="O11" s="140"/>
      <c r="P11" s="147" t="e">
        <f>E9-Q6</f>
        <v>#VALUE!</v>
      </c>
      <c r="Q11" s="144" t="e">
        <f>P11*1.1*1.01</f>
        <v>#VALUE!</v>
      </c>
      <c r="R11" s="144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99"/>
      <c r="DA11" s="99"/>
      <c r="DB11" s="99"/>
      <c r="DC11" s="99"/>
      <c r="DD11" s="99"/>
      <c r="DE11" s="99"/>
      <c r="DF11" s="99"/>
      <c r="DG11" s="99"/>
      <c r="DH11" s="99"/>
      <c r="DI11" s="99"/>
      <c r="DJ11" s="99"/>
      <c r="DK11" s="99"/>
      <c r="DL11" s="99"/>
      <c r="DM11" s="99"/>
      <c r="DN11" s="99"/>
      <c r="DO11" s="99"/>
      <c r="DP11" s="99"/>
      <c r="DQ11" s="99"/>
      <c r="DR11" s="99"/>
      <c r="DS11" s="99"/>
      <c r="DT11" s="99"/>
      <c r="DU11" s="99"/>
      <c r="DV11" s="99"/>
      <c r="DW11" s="99"/>
      <c r="DX11" s="99"/>
      <c r="DY11" s="99"/>
      <c r="DZ11" s="99"/>
      <c r="EA11" s="99"/>
      <c r="EB11" s="99"/>
      <c r="EC11" s="99"/>
      <c r="ED11" s="99"/>
      <c r="EE11" s="99"/>
      <c r="EF11" s="99"/>
      <c r="EG11" s="99"/>
      <c r="EH11" s="99"/>
      <c r="EI11" s="99"/>
      <c r="EJ11" s="99"/>
      <c r="EK11" s="99"/>
      <c r="EL11" s="99"/>
      <c r="EM11" s="99"/>
      <c r="EN11" s="99"/>
      <c r="EO11" s="99"/>
      <c r="EP11" s="99"/>
      <c r="EQ11" s="99"/>
      <c r="ER11" s="99"/>
      <c r="ES11" s="99"/>
      <c r="ET11" s="99"/>
      <c r="EU11" s="99"/>
      <c r="EV11" s="99"/>
      <c r="EW11" s="99"/>
      <c r="EX11" s="99"/>
      <c r="EY11" s="99"/>
      <c r="EZ11" s="99"/>
      <c r="FA11" s="99"/>
      <c r="FB11" s="99"/>
      <c r="FC11" s="99"/>
      <c r="FD11" s="99"/>
      <c r="FE11" s="99"/>
      <c r="FF11" s="99"/>
      <c r="FG11" s="99"/>
      <c r="FH11" s="99"/>
      <c r="FI11" s="99"/>
      <c r="FJ11" s="99"/>
      <c r="FK11" s="99"/>
      <c r="FL11" s="99"/>
      <c r="FM11" s="99"/>
      <c r="FN11" s="99"/>
      <c r="FO11" s="99"/>
      <c r="FP11" s="99"/>
      <c r="FQ11" s="99"/>
      <c r="FR11" s="99"/>
      <c r="FS11" s="99"/>
      <c r="FT11" s="99"/>
      <c r="FU11" s="99"/>
      <c r="FV11" s="99"/>
      <c r="FW11" s="99"/>
      <c r="FX11" s="99"/>
      <c r="FY11" s="99"/>
      <c r="FZ11" s="99"/>
      <c r="GA11" s="99"/>
      <c r="GB11" s="99"/>
      <c r="GC11" s="99"/>
      <c r="GD11" s="99"/>
      <c r="GE11" s="99"/>
      <c r="GF11" s="99"/>
      <c r="GG11" s="99"/>
      <c r="GH11" s="99"/>
      <c r="GI11" s="99"/>
      <c r="GJ11" s="99"/>
      <c r="GK11" s="99"/>
      <c r="GL11" s="99"/>
      <c r="GM11" s="99"/>
      <c r="GN11" s="99"/>
      <c r="GO11" s="99"/>
      <c r="GP11" s="99"/>
      <c r="GQ11" s="99"/>
      <c r="GR11" s="99"/>
      <c r="GS11" s="99"/>
      <c r="GT11" s="99"/>
      <c r="GU11" s="99"/>
      <c r="GV11" s="99"/>
      <c r="GW11" s="99"/>
      <c r="GX11" s="99"/>
      <c r="GY11" s="99"/>
      <c r="GZ11" s="99"/>
      <c r="HA11" s="99"/>
      <c r="HB11" s="99"/>
      <c r="HC11" s="99"/>
      <c r="HD11" s="99"/>
      <c r="HE11" s="99"/>
      <c r="HF11" s="99"/>
      <c r="HG11" s="99"/>
      <c r="HH11" s="99"/>
      <c r="HI11" s="99"/>
      <c r="HJ11" s="99"/>
      <c r="HK11" s="99"/>
      <c r="HL11" s="99"/>
      <c r="HM11" s="99"/>
      <c r="HN11" s="99"/>
      <c r="HO11" s="99"/>
      <c r="HP11" s="99"/>
      <c r="HQ11" s="99"/>
      <c r="HR11" s="99"/>
      <c r="HS11" s="99"/>
      <c r="HT11" s="99"/>
      <c r="HU11" s="99"/>
      <c r="HV11" s="99"/>
      <c r="HW11" s="99"/>
      <c r="HX11" s="99"/>
      <c r="HY11" s="99"/>
      <c r="HZ11" s="99"/>
      <c r="IA11" s="99"/>
      <c r="IB11" s="99"/>
      <c r="IC11" s="99"/>
      <c r="ID11" s="99"/>
      <c r="IE11" s="99"/>
      <c r="IF11" s="99"/>
      <c r="IG11" s="99"/>
      <c r="IH11" s="99"/>
      <c r="II11" s="99"/>
      <c r="IJ11" s="99"/>
    </row>
    <row r="12" spans="1:254" ht="47.25">
      <c r="B12" s="136" t="s">
        <v>128</v>
      </c>
      <c r="C12" s="287" t="s">
        <v>230</v>
      </c>
      <c r="D12" s="137" t="s">
        <v>560</v>
      </c>
      <c r="E12" s="138">
        <v>452.214</v>
      </c>
      <c r="F12" s="139"/>
      <c r="G12" s="138" t="s">
        <v>264</v>
      </c>
      <c r="H12" s="138">
        <v>452.214</v>
      </c>
      <c r="I12" s="138">
        <v>746.41</v>
      </c>
      <c r="J12" s="138">
        <v>1198.6199999999999</v>
      </c>
      <c r="K12" s="138"/>
      <c r="L12" s="138"/>
      <c r="M12" s="138"/>
      <c r="N12" s="138"/>
      <c r="O12" s="148"/>
      <c r="P12" s="140"/>
      <c r="Q12" s="144"/>
      <c r="R12" s="14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  <c r="DQ12" s="99"/>
      <c r="DR12" s="99"/>
      <c r="DS12" s="99"/>
      <c r="DT12" s="99"/>
      <c r="DU12" s="99"/>
      <c r="DV12" s="99"/>
      <c r="DW12" s="99"/>
      <c r="DX12" s="99"/>
      <c r="DY12" s="99"/>
      <c r="DZ12" s="99"/>
      <c r="EA12" s="99"/>
      <c r="EB12" s="99"/>
      <c r="EC12" s="99"/>
      <c r="ED12" s="99"/>
      <c r="EE12" s="99"/>
      <c r="EF12" s="99"/>
      <c r="EG12" s="99"/>
      <c r="EH12" s="99"/>
      <c r="EI12" s="99"/>
      <c r="EJ12" s="99"/>
      <c r="EK12" s="99"/>
      <c r="EL12" s="99"/>
      <c r="EM12" s="99"/>
      <c r="EN12" s="99"/>
      <c r="EO12" s="99"/>
      <c r="EP12" s="99"/>
      <c r="EQ12" s="99"/>
      <c r="ER12" s="99"/>
      <c r="ES12" s="99"/>
      <c r="ET12" s="99"/>
      <c r="EU12" s="99"/>
      <c r="EV12" s="99"/>
      <c r="EW12" s="99"/>
      <c r="EX12" s="99"/>
      <c r="EY12" s="99"/>
      <c r="EZ12" s="99"/>
      <c r="FA12" s="99"/>
      <c r="FB12" s="99"/>
      <c r="FC12" s="99"/>
      <c r="FD12" s="99"/>
      <c r="FE12" s="99"/>
      <c r="FF12" s="99"/>
      <c r="FG12" s="99"/>
      <c r="FH12" s="99"/>
      <c r="FI12" s="99"/>
      <c r="FJ12" s="99"/>
      <c r="FK12" s="99"/>
      <c r="FL12" s="99"/>
      <c r="FM12" s="99"/>
      <c r="FN12" s="99"/>
      <c r="FO12" s="99"/>
      <c r="FP12" s="99"/>
      <c r="FQ12" s="99"/>
      <c r="FR12" s="99"/>
      <c r="FS12" s="99"/>
      <c r="FT12" s="99"/>
      <c r="FU12" s="99"/>
      <c r="FV12" s="99"/>
      <c r="FW12" s="99"/>
      <c r="FX12" s="99"/>
      <c r="FY12" s="99"/>
      <c r="FZ12" s="99"/>
      <c r="GA12" s="99"/>
      <c r="GB12" s="99"/>
      <c r="GC12" s="99"/>
      <c r="GD12" s="99"/>
      <c r="GE12" s="99"/>
      <c r="GF12" s="99"/>
      <c r="GG12" s="99"/>
      <c r="GH12" s="99"/>
      <c r="GI12" s="99"/>
      <c r="GJ12" s="99"/>
      <c r="GK12" s="99"/>
      <c r="GL12" s="99"/>
      <c r="GM12" s="99"/>
      <c r="GN12" s="99"/>
      <c r="GO12" s="99"/>
      <c r="GP12" s="99"/>
      <c r="GQ12" s="99"/>
      <c r="GR12" s="99"/>
      <c r="GS12" s="99"/>
      <c r="GT12" s="99"/>
      <c r="GU12" s="99"/>
      <c r="GV12" s="99"/>
      <c r="GW12" s="99"/>
      <c r="GX12" s="99"/>
      <c r="GY12" s="99"/>
      <c r="GZ12" s="99"/>
      <c r="HA12" s="99"/>
      <c r="HB12" s="99"/>
      <c r="HC12" s="99"/>
      <c r="HD12" s="99"/>
      <c r="HE12" s="99"/>
      <c r="HF12" s="99"/>
      <c r="HG12" s="99"/>
      <c r="HH12" s="99"/>
      <c r="HI12" s="99"/>
      <c r="HJ12" s="99"/>
      <c r="HK12" s="99"/>
      <c r="HL12" s="99"/>
      <c r="HM12" s="99"/>
      <c r="HN12" s="99"/>
      <c r="HO12" s="99"/>
      <c r="HP12" s="99"/>
      <c r="HQ12" s="99"/>
      <c r="HR12" s="99"/>
      <c r="HS12" s="99"/>
      <c r="HT12" s="99"/>
      <c r="HU12" s="99"/>
      <c r="HV12" s="99"/>
      <c r="HW12" s="99"/>
      <c r="HX12" s="99"/>
      <c r="HY12" s="99"/>
      <c r="HZ12" s="99"/>
      <c r="IA12" s="99"/>
      <c r="IB12" s="99"/>
      <c r="IC12" s="99"/>
      <c r="ID12" s="99"/>
      <c r="IE12" s="99"/>
      <c r="IF12" s="99"/>
      <c r="IG12" s="99"/>
      <c r="IH12" s="99"/>
      <c r="II12" s="99"/>
      <c r="IJ12" s="99"/>
    </row>
    <row r="13" spans="1:254" ht="16.5" thickBot="1">
      <c r="B13" s="207" t="s">
        <v>411</v>
      </c>
      <c r="C13" s="355" t="s">
        <v>410</v>
      </c>
      <c r="D13" s="207"/>
      <c r="E13" s="381">
        <v>50.195999999999998</v>
      </c>
      <c r="F13" s="207"/>
      <c r="G13" s="374" t="s">
        <v>264</v>
      </c>
      <c r="H13" s="381">
        <v>50.195999999999998</v>
      </c>
      <c r="I13" s="374" t="s">
        <v>264</v>
      </c>
      <c r="J13" s="381">
        <v>50.195999999999998</v>
      </c>
      <c r="K13" s="374"/>
      <c r="L13" s="381"/>
      <c r="M13" s="374"/>
      <c r="N13" s="381"/>
      <c r="O13" s="148">
        <f>L10-L11</f>
        <v>0</v>
      </c>
      <c r="P13" s="140"/>
      <c r="Q13" s="144"/>
      <c r="R13" s="144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99"/>
      <c r="DT13" s="99"/>
      <c r="DU13" s="99"/>
      <c r="DV13" s="99"/>
      <c r="DW13" s="99"/>
      <c r="DX13" s="99"/>
      <c r="DY13" s="99"/>
      <c r="DZ13" s="99"/>
      <c r="EA13" s="99"/>
      <c r="EB13" s="99"/>
      <c r="EC13" s="99"/>
      <c r="ED13" s="99"/>
      <c r="EE13" s="99"/>
      <c r="EF13" s="99"/>
      <c r="EG13" s="99"/>
      <c r="EH13" s="99"/>
      <c r="EI13" s="99"/>
      <c r="EJ13" s="99"/>
      <c r="EK13" s="99"/>
      <c r="EL13" s="99"/>
      <c r="EM13" s="99"/>
      <c r="EN13" s="99"/>
      <c r="EO13" s="99"/>
      <c r="EP13" s="99"/>
      <c r="EQ13" s="99"/>
      <c r="ER13" s="99"/>
      <c r="ES13" s="99"/>
      <c r="ET13" s="99"/>
      <c r="EU13" s="99"/>
      <c r="EV13" s="99"/>
      <c r="EW13" s="99"/>
      <c r="EX13" s="99"/>
      <c r="EY13" s="99"/>
      <c r="EZ13" s="99"/>
      <c r="FA13" s="99"/>
      <c r="FB13" s="99"/>
      <c r="FC13" s="99"/>
      <c r="FD13" s="99"/>
      <c r="FE13" s="99"/>
      <c r="FF13" s="99"/>
      <c r="FG13" s="99"/>
      <c r="FH13" s="99"/>
      <c r="FI13" s="99"/>
      <c r="FJ13" s="99"/>
      <c r="FK13" s="99"/>
      <c r="FL13" s="99"/>
      <c r="FM13" s="99"/>
      <c r="FN13" s="99"/>
      <c r="FO13" s="99"/>
      <c r="FP13" s="99"/>
      <c r="FQ13" s="99"/>
      <c r="FR13" s="99"/>
      <c r="FS13" s="99"/>
      <c r="FT13" s="99"/>
      <c r="FU13" s="99"/>
      <c r="FV13" s="99"/>
      <c r="FW13" s="99"/>
      <c r="FX13" s="99"/>
      <c r="FY13" s="99"/>
      <c r="FZ13" s="99"/>
      <c r="GA13" s="99"/>
      <c r="GB13" s="99"/>
      <c r="GC13" s="99"/>
      <c r="GD13" s="99"/>
      <c r="GE13" s="99"/>
      <c r="GF13" s="99"/>
      <c r="GG13" s="99"/>
      <c r="GH13" s="99"/>
      <c r="GI13" s="99"/>
      <c r="GJ13" s="99"/>
      <c r="GK13" s="99"/>
      <c r="GL13" s="99"/>
      <c r="GM13" s="99"/>
      <c r="GN13" s="99"/>
      <c r="GO13" s="99"/>
      <c r="GP13" s="99"/>
      <c r="GQ13" s="99"/>
      <c r="GR13" s="99"/>
      <c r="GS13" s="99"/>
      <c r="GT13" s="99"/>
      <c r="GU13" s="99"/>
      <c r="GV13" s="99"/>
      <c r="GW13" s="99"/>
      <c r="GX13" s="99"/>
      <c r="GY13" s="99"/>
      <c r="GZ13" s="99"/>
      <c r="HA13" s="99"/>
      <c r="HB13" s="99"/>
      <c r="HC13" s="99"/>
      <c r="HD13" s="99"/>
      <c r="HE13" s="99"/>
      <c r="HF13" s="99"/>
      <c r="HG13" s="99"/>
      <c r="HH13" s="99"/>
      <c r="HI13" s="99"/>
      <c r="HJ13" s="99"/>
      <c r="HK13" s="99"/>
      <c r="HL13" s="99"/>
      <c r="HM13" s="99"/>
      <c r="HN13" s="99"/>
      <c r="HO13" s="99"/>
      <c r="HP13" s="99"/>
      <c r="HQ13" s="99"/>
      <c r="HR13" s="99"/>
      <c r="HS13" s="99"/>
      <c r="HT13" s="99"/>
      <c r="HU13" s="99"/>
      <c r="HV13" s="99"/>
      <c r="HW13" s="99"/>
      <c r="HX13" s="99"/>
      <c r="HY13" s="99"/>
      <c r="HZ13" s="99"/>
      <c r="IA13" s="99"/>
      <c r="IB13" s="99"/>
      <c r="IC13" s="99"/>
      <c r="ID13" s="99"/>
      <c r="IE13" s="99"/>
      <c r="IF13" s="99"/>
      <c r="IG13" s="99"/>
      <c r="IH13" s="99"/>
      <c r="II13" s="99"/>
      <c r="IJ13" s="99"/>
    </row>
    <row r="14" spans="1:254" s="154" customFormat="1" ht="16.5" thickBot="1">
      <c r="A14" s="115"/>
      <c r="B14" s="200"/>
      <c r="C14" s="289" t="s">
        <v>231</v>
      </c>
      <c r="D14" s="201"/>
      <c r="E14" s="202"/>
      <c r="F14" s="201"/>
      <c r="G14" s="202"/>
      <c r="H14" s="202"/>
      <c r="I14" s="202"/>
      <c r="J14" s="202"/>
      <c r="K14" s="202"/>
      <c r="L14" s="202"/>
      <c r="M14" s="202"/>
      <c r="N14" s="202"/>
      <c r="O14" s="152">
        <v>134</v>
      </c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3"/>
      <c r="BF14" s="153"/>
      <c r="BG14" s="153"/>
      <c r="BH14" s="153"/>
      <c r="BI14" s="153"/>
      <c r="BJ14" s="153"/>
      <c r="BK14" s="153"/>
      <c r="BL14" s="153"/>
      <c r="BM14" s="153"/>
      <c r="BN14" s="153"/>
      <c r="BO14" s="153"/>
      <c r="BP14" s="153"/>
      <c r="BQ14" s="153"/>
      <c r="BR14" s="153"/>
      <c r="BS14" s="153"/>
      <c r="BT14" s="153"/>
      <c r="BU14" s="153"/>
      <c r="BV14" s="153"/>
      <c r="BW14" s="153"/>
      <c r="BX14" s="153"/>
      <c r="BY14" s="153"/>
      <c r="BZ14" s="153"/>
      <c r="CA14" s="153"/>
      <c r="CB14" s="153"/>
      <c r="CC14" s="153"/>
      <c r="CD14" s="153"/>
      <c r="CE14" s="153"/>
      <c r="CF14" s="153"/>
      <c r="CG14" s="153"/>
      <c r="CH14" s="153"/>
      <c r="CI14" s="153"/>
      <c r="CJ14" s="153"/>
      <c r="CK14" s="153"/>
      <c r="CL14" s="153"/>
      <c r="CM14" s="153"/>
      <c r="CN14" s="153"/>
      <c r="CO14" s="153"/>
      <c r="CP14" s="153"/>
      <c r="CQ14" s="153"/>
      <c r="CR14" s="153"/>
      <c r="CS14" s="153"/>
      <c r="CT14" s="153"/>
      <c r="CU14" s="153"/>
      <c r="CV14" s="153"/>
      <c r="CW14" s="153"/>
      <c r="CX14" s="153"/>
      <c r="CY14" s="153"/>
      <c r="CZ14" s="153"/>
      <c r="DA14" s="153"/>
      <c r="DB14" s="153"/>
      <c r="DC14" s="153"/>
      <c r="DD14" s="153"/>
      <c r="DE14" s="153"/>
      <c r="DF14" s="153"/>
      <c r="DG14" s="153"/>
      <c r="DH14" s="153"/>
      <c r="DI14" s="153"/>
      <c r="DJ14" s="153"/>
      <c r="DK14" s="153"/>
      <c r="DL14" s="153"/>
      <c r="DM14" s="153"/>
      <c r="DN14" s="153"/>
      <c r="DO14" s="153"/>
      <c r="DP14" s="153"/>
      <c r="DQ14" s="153"/>
      <c r="DR14" s="153"/>
      <c r="DS14" s="153"/>
      <c r="DT14" s="153"/>
      <c r="DU14" s="153"/>
      <c r="DV14" s="153"/>
      <c r="DW14" s="153"/>
      <c r="DX14" s="153"/>
      <c r="DY14" s="153"/>
      <c r="DZ14" s="153"/>
      <c r="EA14" s="153"/>
      <c r="EB14" s="153"/>
      <c r="EC14" s="153"/>
      <c r="ED14" s="153"/>
      <c r="EE14" s="153"/>
      <c r="EF14" s="153"/>
      <c r="EG14" s="153"/>
      <c r="EH14" s="153"/>
      <c r="EI14" s="153"/>
      <c r="EJ14" s="153"/>
      <c r="EK14" s="153"/>
      <c r="EL14" s="153"/>
      <c r="EM14" s="153"/>
      <c r="EN14" s="153"/>
      <c r="EO14" s="153"/>
      <c r="EP14" s="153"/>
      <c r="EQ14" s="153"/>
      <c r="ER14" s="153"/>
      <c r="ES14" s="153"/>
      <c r="ET14" s="153"/>
      <c r="EU14" s="153"/>
      <c r="EV14" s="153"/>
      <c r="EW14" s="153"/>
      <c r="EX14" s="153"/>
      <c r="EY14" s="153"/>
      <c r="EZ14" s="153"/>
      <c r="FA14" s="153"/>
      <c r="FB14" s="153"/>
      <c r="FC14" s="153"/>
      <c r="FD14" s="153"/>
      <c r="FE14" s="153"/>
      <c r="FF14" s="153"/>
      <c r="FG14" s="153"/>
      <c r="FH14" s="153"/>
      <c r="FI14" s="153"/>
      <c r="FJ14" s="153"/>
      <c r="FK14" s="153"/>
      <c r="FL14" s="153"/>
      <c r="FM14" s="153"/>
      <c r="FN14" s="153"/>
      <c r="FO14" s="153"/>
      <c r="FP14" s="153"/>
      <c r="FQ14" s="153"/>
      <c r="FR14" s="153"/>
      <c r="FS14" s="153"/>
      <c r="FT14" s="153"/>
      <c r="FU14" s="153"/>
      <c r="FV14" s="153"/>
      <c r="FW14" s="153"/>
      <c r="FX14" s="153"/>
      <c r="FY14" s="153"/>
      <c r="FZ14" s="153"/>
      <c r="GA14" s="153"/>
      <c r="GB14" s="153"/>
      <c r="GC14" s="153"/>
      <c r="GD14" s="153"/>
      <c r="GE14" s="153"/>
      <c r="GF14" s="153"/>
      <c r="GG14" s="153"/>
      <c r="GH14" s="153"/>
      <c r="GI14" s="153"/>
      <c r="GJ14" s="153"/>
      <c r="GK14" s="153"/>
      <c r="GL14" s="153"/>
      <c r="GM14" s="153"/>
      <c r="GN14" s="153"/>
      <c r="GO14" s="153"/>
      <c r="GP14" s="153"/>
      <c r="GQ14" s="153"/>
      <c r="GR14" s="153"/>
      <c r="GS14" s="153"/>
      <c r="GT14" s="153"/>
      <c r="GU14" s="153"/>
      <c r="GV14" s="153"/>
      <c r="GW14" s="153"/>
      <c r="GX14" s="153"/>
      <c r="GY14" s="153"/>
      <c r="GZ14" s="153"/>
      <c r="HA14" s="153"/>
      <c r="HB14" s="153"/>
      <c r="HC14" s="153"/>
      <c r="HD14" s="153"/>
      <c r="HE14" s="153"/>
      <c r="HF14" s="153"/>
      <c r="HG14" s="153"/>
      <c r="HH14" s="153"/>
      <c r="HI14" s="153"/>
      <c r="HJ14" s="153"/>
      <c r="HK14" s="153"/>
      <c r="HL14" s="153"/>
      <c r="HM14" s="153"/>
      <c r="HN14" s="153"/>
      <c r="HO14" s="153"/>
      <c r="HP14" s="153"/>
      <c r="HQ14" s="153"/>
      <c r="HR14" s="153"/>
      <c r="HS14" s="153"/>
      <c r="HT14" s="153"/>
      <c r="HU14" s="153"/>
      <c r="HV14" s="153"/>
      <c r="HW14" s="153"/>
      <c r="HX14" s="153"/>
      <c r="HY14" s="153"/>
      <c r="HZ14" s="153"/>
      <c r="IA14" s="153"/>
      <c r="IB14" s="153"/>
      <c r="IC14" s="153"/>
      <c r="ID14" s="153"/>
      <c r="IE14" s="153"/>
      <c r="IF14" s="153"/>
      <c r="IG14" s="153"/>
      <c r="IH14" s="153"/>
      <c r="II14" s="153"/>
      <c r="IJ14" s="153"/>
    </row>
    <row r="15" spans="1:254" ht="151.5" customHeight="1">
      <c r="B15" s="203" t="s">
        <v>129</v>
      </c>
      <c r="C15" s="367" t="s">
        <v>300</v>
      </c>
      <c r="D15" s="187" t="s">
        <v>561</v>
      </c>
      <c r="E15" s="368" t="s">
        <v>269</v>
      </c>
      <c r="F15" s="178"/>
      <c r="G15" s="187" t="s">
        <v>264</v>
      </c>
      <c r="H15" s="368" t="s">
        <v>269</v>
      </c>
      <c r="I15" s="187" t="s">
        <v>264</v>
      </c>
      <c r="J15" s="368" t="s">
        <v>269</v>
      </c>
      <c r="K15" s="187"/>
      <c r="L15" s="368"/>
      <c r="M15" s="187"/>
      <c r="N15" s="368"/>
      <c r="O15" s="148">
        <f>1.09*O14</f>
        <v>146.06</v>
      </c>
      <c r="P15" s="148"/>
      <c r="Q15" s="148">
        <f>0.82*77</f>
        <v>63.139999999999993</v>
      </c>
      <c r="R15" s="99">
        <f>0.54*150</f>
        <v>81</v>
      </c>
      <c r="S15" s="144">
        <f>O15-R15</f>
        <v>65.06</v>
      </c>
      <c r="T15" s="99">
        <f>151-134</f>
        <v>17</v>
      </c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  <c r="BO15" s="99"/>
      <c r="BP15" s="99"/>
      <c r="BQ15" s="99"/>
      <c r="BR15" s="99"/>
      <c r="BS15" s="99"/>
      <c r="BT15" s="99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99"/>
      <c r="CF15" s="99"/>
      <c r="CG15" s="99"/>
      <c r="CH15" s="99"/>
      <c r="CI15" s="99"/>
      <c r="CJ15" s="99"/>
      <c r="CK15" s="99"/>
      <c r="CL15" s="99"/>
      <c r="CM15" s="99"/>
      <c r="CN15" s="99"/>
      <c r="CO15" s="99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99"/>
      <c r="DA15" s="99"/>
      <c r="DB15" s="99"/>
      <c r="DC15" s="99"/>
      <c r="DD15" s="99"/>
      <c r="DE15" s="99"/>
      <c r="DF15" s="99"/>
      <c r="DG15" s="99"/>
      <c r="DH15" s="99"/>
      <c r="DI15" s="99"/>
      <c r="DJ15" s="99"/>
      <c r="DK15" s="99"/>
      <c r="DL15" s="99"/>
      <c r="DM15" s="99"/>
      <c r="DN15" s="99"/>
      <c r="DO15" s="99"/>
      <c r="DP15" s="99"/>
      <c r="DQ15" s="99"/>
      <c r="DR15" s="99"/>
      <c r="DS15" s="99"/>
      <c r="DT15" s="99"/>
      <c r="DU15" s="99"/>
      <c r="DV15" s="99"/>
      <c r="DW15" s="99"/>
      <c r="DX15" s="99"/>
      <c r="DY15" s="99"/>
      <c r="DZ15" s="99"/>
      <c r="EA15" s="99"/>
      <c r="EB15" s="99"/>
      <c r="EC15" s="99"/>
      <c r="ED15" s="99"/>
      <c r="EE15" s="99"/>
      <c r="EF15" s="99"/>
      <c r="EG15" s="99"/>
      <c r="EH15" s="99"/>
      <c r="EI15" s="99"/>
      <c r="EJ15" s="99"/>
      <c r="EK15" s="99"/>
      <c r="EL15" s="99"/>
      <c r="EM15" s="99"/>
      <c r="EN15" s="99"/>
      <c r="EO15" s="99"/>
      <c r="EP15" s="99"/>
      <c r="EQ15" s="99"/>
      <c r="ER15" s="99"/>
      <c r="ES15" s="99"/>
      <c r="ET15" s="99"/>
      <c r="EU15" s="99"/>
      <c r="EV15" s="99"/>
      <c r="EW15" s="99"/>
      <c r="EX15" s="99"/>
      <c r="EY15" s="99"/>
      <c r="EZ15" s="99"/>
      <c r="FA15" s="99"/>
      <c r="FB15" s="99"/>
      <c r="FC15" s="99"/>
      <c r="FD15" s="99"/>
      <c r="FE15" s="99"/>
      <c r="FF15" s="99"/>
      <c r="FG15" s="99"/>
      <c r="FH15" s="99"/>
      <c r="FI15" s="99"/>
      <c r="FJ15" s="99"/>
      <c r="FK15" s="99"/>
      <c r="FL15" s="99"/>
      <c r="FM15" s="99"/>
      <c r="FN15" s="99"/>
      <c r="FO15" s="99"/>
      <c r="FP15" s="99"/>
      <c r="FQ15" s="99"/>
      <c r="FR15" s="99"/>
      <c r="FS15" s="99"/>
      <c r="FT15" s="99"/>
      <c r="FU15" s="99"/>
      <c r="FV15" s="99"/>
      <c r="FW15" s="99"/>
      <c r="FX15" s="99"/>
      <c r="FY15" s="99"/>
      <c r="FZ15" s="99"/>
      <c r="GA15" s="99"/>
      <c r="GB15" s="99"/>
      <c r="GC15" s="99"/>
      <c r="GD15" s="99"/>
      <c r="GE15" s="99"/>
      <c r="GF15" s="99"/>
      <c r="GG15" s="99"/>
      <c r="GH15" s="99"/>
      <c r="GI15" s="99"/>
      <c r="GJ15" s="99"/>
      <c r="GK15" s="99"/>
      <c r="GL15" s="99"/>
      <c r="GM15" s="99"/>
      <c r="GN15" s="99"/>
      <c r="GO15" s="99"/>
      <c r="GP15" s="99"/>
      <c r="GQ15" s="99"/>
      <c r="GR15" s="99"/>
      <c r="GS15" s="99"/>
      <c r="GT15" s="99"/>
      <c r="GU15" s="99"/>
      <c r="GV15" s="99"/>
      <c r="GW15" s="99"/>
      <c r="GX15" s="99"/>
      <c r="GY15" s="99"/>
      <c r="GZ15" s="99"/>
      <c r="HA15" s="99"/>
      <c r="HB15" s="99"/>
      <c r="HC15" s="99"/>
      <c r="HD15" s="99"/>
      <c r="HE15" s="99"/>
      <c r="HF15" s="99"/>
      <c r="HG15" s="99"/>
      <c r="HH15" s="99"/>
      <c r="HI15" s="99"/>
      <c r="HJ15" s="99"/>
      <c r="HK15" s="99"/>
      <c r="HL15" s="99"/>
      <c r="HM15" s="99"/>
      <c r="HN15" s="99"/>
      <c r="HO15" s="99"/>
      <c r="HP15" s="99"/>
      <c r="HQ15" s="99"/>
      <c r="HR15" s="99"/>
      <c r="HS15" s="99"/>
      <c r="HT15" s="99"/>
      <c r="HU15" s="99"/>
      <c r="HV15" s="99"/>
      <c r="HW15" s="99"/>
      <c r="HX15" s="99"/>
      <c r="HY15" s="99"/>
      <c r="HZ15" s="99"/>
      <c r="IA15" s="99"/>
      <c r="IB15" s="99"/>
      <c r="IC15" s="99"/>
      <c r="ID15" s="99"/>
      <c r="IE15" s="99"/>
      <c r="IF15" s="99"/>
      <c r="IG15" s="99"/>
      <c r="IH15" s="99"/>
      <c r="II15" s="99"/>
      <c r="IJ15" s="99"/>
      <c r="IT15" s="112"/>
    </row>
    <row r="16" spans="1:254" ht="230.85" customHeight="1" thickBot="1">
      <c r="A16" s="463" t="s">
        <v>510</v>
      </c>
      <c r="B16" s="467"/>
      <c r="C16" s="468"/>
      <c r="D16" s="469"/>
      <c r="E16" s="470"/>
      <c r="F16" s="471"/>
      <c r="G16" s="469"/>
      <c r="H16" s="470"/>
      <c r="I16" s="469"/>
      <c r="J16" s="470"/>
      <c r="K16" s="469"/>
      <c r="L16" s="470"/>
      <c r="M16" s="469"/>
      <c r="N16" s="472"/>
      <c r="O16" s="148"/>
      <c r="P16" s="148"/>
      <c r="Q16" s="148"/>
      <c r="R16" s="99"/>
      <c r="S16" s="144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  <c r="CH16" s="99"/>
      <c r="CI16" s="99"/>
      <c r="CJ16" s="99"/>
      <c r="CK16" s="99"/>
      <c r="CL16" s="99"/>
      <c r="CM16" s="99"/>
      <c r="CN16" s="99"/>
      <c r="CO16" s="99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99"/>
      <c r="DA16" s="99"/>
      <c r="DB16" s="99"/>
      <c r="DC16" s="99"/>
      <c r="DD16" s="99"/>
      <c r="DE16" s="99"/>
      <c r="DF16" s="99"/>
      <c r="DG16" s="99"/>
      <c r="DH16" s="99"/>
      <c r="DI16" s="99"/>
      <c r="DJ16" s="99"/>
      <c r="DK16" s="99"/>
      <c r="DL16" s="99"/>
      <c r="DM16" s="99"/>
      <c r="DN16" s="99"/>
      <c r="DO16" s="99"/>
      <c r="DP16" s="99"/>
      <c r="DQ16" s="99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  <c r="EG16" s="99"/>
      <c r="EH16" s="99"/>
      <c r="EI16" s="99"/>
      <c r="EJ16" s="99"/>
      <c r="EK16" s="99"/>
      <c r="EL16" s="99"/>
      <c r="EM16" s="99"/>
      <c r="EN16" s="99"/>
      <c r="EO16" s="99"/>
      <c r="EP16" s="99"/>
      <c r="EQ16" s="99"/>
      <c r="ER16" s="99"/>
      <c r="ES16" s="99"/>
      <c r="ET16" s="99"/>
      <c r="EU16" s="99"/>
      <c r="EV16" s="99"/>
      <c r="EW16" s="99"/>
      <c r="EX16" s="99"/>
      <c r="EY16" s="99"/>
      <c r="EZ16" s="99"/>
      <c r="FA16" s="99"/>
      <c r="FB16" s="99"/>
      <c r="FC16" s="99"/>
      <c r="FD16" s="99"/>
      <c r="FE16" s="99"/>
      <c r="FF16" s="99"/>
      <c r="FG16" s="99"/>
      <c r="FH16" s="99"/>
      <c r="FI16" s="99"/>
      <c r="FJ16" s="99"/>
      <c r="FK16" s="99"/>
      <c r="FL16" s="99"/>
      <c r="FM16" s="99"/>
      <c r="FN16" s="99"/>
      <c r="FO16" s="99"/>
      <c r="FP16" s="99"/>
      <c r="FQ16" s="99"/>
      <c r="FR16" s="99"/>
      <c r="FS16" s="99"/>
      <c r="FT16" s="99"/>
      <c r="FU16" s="99"/>
      <c r="FV16" s="99"/>
      <c r="FW16" s="99"/>
      <c r="FX16" s="99"/>
      <c r="FY16" s="99"/>
      <c r="FZ16" s="99"/>
      <c r="GA16" s="99"/>
      <c r="GB16" s="99"/>
      <c r="GC16" s="99"/>
      <c r="GD16" s="99"/>
      <c r="GE16" s="99"/>
      <c r="GF16" s="99"/>
      <c r="GG16" s="99"/>
      <c r="GH16" s="99"/>
      <c r="GI16" s="99"/>
      <c r="GJ16" s="99"/>
      <c r="GK16" s="99"/>
      <c r="GL16" s="99"/>
      <c r="GM16" s="99"/>
      <c r="GN16" s="99"/>
      <c r="GO16" s="99"/>
      <c r="GP16" s="99"/>
      <c r="GQ16" s="99"/>
      <c r="GR16" s="99"/>
      <c r="GS16" s="99"/>
      <c r="GT16" s="99"/>
      <c r="GU16" s="99"/>
      <c r="GV16" s="99"/>
      <c r="GW16" s="99"/>
      <c r="GX16" s="99"/>
      <c r="GY16" s="99"/>
      <c r="GZ16" s="99"/>
      <c r="HA16" s="99"/>
      <c r="HB16" s="99"/>
      <c r="HC16" s="99"/>
      <c r="HD16" s="99"/>
      <c r="HE16" s="99"/>
      <c r="HF16" s="99"/>
      <c r="HG16" s="99"/>
      <c r="HH16" s="99"/>
      <c r="HI16" s="99"/>
      <c r="HJ16" s="99"/>
      <c r="HK16" s="99"/>
      <c r="HL16" s="99"/>
      <c r="HM16" s="99"/>
      <c r="HN16" s="99"/>
      <c r="HO16" s="99"/>
      <c r="HP16" s="99"/>
      <c r="HQ16" s="99"/>
      <c r="HR16" s="99"/>
      <c r="HS16" s="99"/>
      <c r="HT16" s="99"/>
      <c r="HU16" s="99"/>
      <c r="HV16" s="99"/>
      <c r="HW16" s="99"/>
      <c r="HX16" s="99"/>
      <c r="HY16" s="99"/>
      <c r="HZ16" s="99"/>
      <c r="IA16" s="99"/>
      <c r="IB16" s="99"/>
      <c r="IC16" s="99"/>
      <c r="ID16" s="99"/>
      <c r="IE16" s="99"/>
      <c r="IF16" s="99"/>
      <c r="IG16" s="99"/>
      <c r="IH16" s="99"/>
      <c r="II16" s="99"/>
      <c r="IJ16" s="99"/>
      <c r="IT16" s="112"/>
    </row>
    <row r="17" spans="1:254" ht="30" customHeight="1" thickBot="1">
      <c r="A17" s="463" t="s">
        <v>510</v>
      </c>
      <c r="B17" s="348"/>
      <c r="C17" s="464"/>
      <c r="D17" s="135"/>
      <c r="E17" s="465"/>
      <c r="F17" s="466"/>
      <c r="G17" s="135"/>
      <c r="H17" s="465"/>
      <c r="I17" s="135"/>
      <c r="J17" s="465"/>
      <c r="K17" s="135"/>
      <c r="L17" s="465"/>
      <c r="M17" s="135"/>
      <c r="N17" s="465"/>
      <c r="O17" s="148"/>
      <c r="P17" s="148"/>
      <c r="Q17" s="148"/>
      <c r="R17" s="99"/>
      <c r="S17" s="144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99"/>
      <c r="CM17" s="99"/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99"/>
      <c r="DC17" s="99"/>
      <c r="DD17" s="99"/>
      <c r="DE17" s="99"/>
      <c r="DF17" s="99"/>
      <c r="DG17" s="99"/>
      <c r="DH17" s="99"/>
      <c r="DI17" s="99"/>
      <c r="DJ17" s="99"/>
      <c r="DK17" s="99"/>
      <c r="DL17" s="99"/>
      <c r="DM17" s="99"/>
      <c r="DN17" s="99"/>
      <c r="DO17" s="99"/>
      <c r="DP17" s="99"/>
      <c r="DQ17" s="99"/>
      <c r="DR17" s="99"/>
      <c r="DS17" s="99"/>
      <c r="DT17" s="99"/>
      <c r="DU17" s="99"/>
      <c r="DV17" s="99"/>
      <c r="DW17" s="99"/>
      <c r="DX17" s="99"/>
      <c r="DY17" s="99"/>
      <c r="DZ17" s="99"/>
      <c r="EA17" s="99"/>
      <c r="EB17" s="99"/>
      <c r="EC17" s="99"/>
      <c r="ED17" s="99"/>
      <c r="EE17" s="99"/>
      <c r="EF17" s="99"/>
      <c r="EG17" s="99"/>
      <c r="EH17" s="99"/>
      <c r="EI17" s="99"/>
      <c r="EJ17" s="99"/>
      <c r="EK17" s="99"/>
      <c r="EL17" s="99"/>
      <c r="EM17" s="99"/>
      <c r="EN17" s="99"/>
      <c r="EO17" s="99"/>
      <c r="EP17" s="99"/>
      <c r="EQ17" s="99"/>
      <c r="ER17" s="99"/>
      <c r="ES17" s="99"/>
      <c r="ET17" s="99"/>
      <c r="EU17" s="99"/>
      <c r="EV17" s="99"/>
      <c r="EW17" s="99"/>
      <c r="EX17" s="99"/>
      <c r="EY17" s="99"/>
      <c r="EZ17" s="99"/>
      <c r="FA17" s="99"/>
      <c r="FB17" s="99"/>
      <c r="FC17" s="99"/>
      <c r="FD17" s="99"/>
      <c r="FE17" s="99"/>
      <c r="FF17" s="99"/>
      <c r="FG17" s="99"/>
      <c r="FH17" s="99"/>
      <c r="FI17" s="99"/>
      <c r="FJ17" s="99"/>
      <c r="FK17" s="99"/>
      <c r="FL17" s="99"/>
      <c r="FM17" s="99"/>
      <c r="FN17" s="99"/>
      <c r="FO17" s="99"/>
      <c r="FP17" s="99"/>
      <c r="FQ17" s="99"/>
      <c r="FR17" s="99"/>
      <c r="FS17" s="99"/>
      <c r="FT17" s="99"/>
      <c r="FU17" s="99"/>
      <c r="FV17" s="99"/>
      <c r="FW17" s="99"/>
      <c r="FX17" s="99"/>
      <c r="FY17" s="99"/>
      <c r="FZ17" s="99"/>
      <c r="GA17" s="99"/>
      <c r="GB17" s="99"/>
      <c r="GC17" s="99"/>
      <c r="GD17" s="99"/>
      <c r="GE17" s="99"/>
      <c r="GF17" s="99"/>
      <c r="GG17" s="99"/>
      <c r="GH17" s="99"/>
      <c r="GI17" s="99"/>
      <c r="GJ17" s="99"/>
      <c r="GK17" s="99"/>
      <c r="GL17" s="99"/>
      <c r="GM17" s="99"/>
      <c r="GN17" s="99"/>
      <c r="GO17" s="99"/>
      <c r="GP17" s="99"/>
      <c r="GQ17" s="99"/>
      <c r="GR17" s="99"/>
      <c r="GS17" s="99"/>
      <c r="GT17" s="99"/>
      <c r="GU17" s="99"/>
      <c r="GV17" s="99"/>
      <c r="GW17" s="99"/>
      <c r="GX17" s="99"/>
      <c r="GY17" s="99"/>
      <c r="GZ17" s="99"/>
      <c r="HA17" s="99"/>
      <c r="HB17" s="99"/>
      <c r="HC17" s="99"/>
      <c r="HD17" s="99"/>
      <c r="HE17" s="99"/>
      <c r="HF17" s="99"/>
      <c r="HG17" s="99"/>
      <c r="HH17" s="99"/>
      <c r="HI17" s="99"/>
      <c r="HJ17" s="99"/>
      <c r="HK17" s="99"/>
      <c r="HL17" s="99"/>
      <c r="HM17" s="99"/>
      <c r="HN17" s="99"/>
      <c r="HO17" s="99"/>
      <c r="HP17" s="99"/>
      <c r="HQ17" s="99"/>
      <c r="HR17" s="99"/>
      <c r="HS17" s="99"/>
      <c r="HT17" s="99"/>
      <c r="HU17" s="99"/>
      <c r="HV17" s="99"/>
      <c r="HW17" s="99"/>
      <c r="HX17" s="99"/>
      <c r="HY17" s="99"/>
      <c r="HZ17" s="99"/>
      <c r="IA17" s="99"/>
      <c r="IB17" s="99"/>
      <c r="IC17" s="99"/>
      <c r="ID17" s="99"/>
      <c r="IE17" s="99"/>
      <c r="IF17" s="99"/>
      <c r="IG17" s="99"/>
      <c r="IH17" s="99"/>
      <c r="II17" s="99"/>
      <c r="IJ17" s="99"/>
      <c r="IT17" s="112"/>
    </row>
    <row r="18" spans="1:254" ht="36" customHeight="1" thickBot="1">
      <c r="A18" s="463" t="s">
        <v>510</v>
      </c>
      <c r="B18" s="642" t="s">
        <v>35</v>
      </c>
      <c r="C18" s="642" t="s">
        <v>36</v>
      </c>
      <c r="D18" s="642" t="s">
        <v>37</v>
      </c>
      <c r="E18" s="642" t="s">
        <v>92</v>
      </c>
      <c r="F18" s="642" t="s">
        <v>18</v>
      </c>
      <c r="G18" s="645" t="s">
        <v>100</v>
      </c>
      <c r="H18" s="646"/>
      <c r="I18" s="646"/>
      <c r="J18" s="646"/>
      <c r="K18" s="646"/>
      <c r="L18" s="646"/>
      <c r="M18" s="646"/>
      <c r="N18" s="647"/>
      <c r="O18" s="134"/>
      <c r="P18" s="134"/>
      <c r="Q18" s="134"/>
      <c r="R18" s="134"/>
    </row>
    <row r="19" spans="1:254" ht="15.75" customHeight="1" thickBot="1">
      <c r="A19" s="463" t="s">
        <v>510</v>
      </c>
      <c r="B19" s="643"/>
      <c r="C19" s="643"/>
      <c r="D19" s="643"/>
      <c r="E19" s="643"/>
      <c r="F19" s="643"/>
      <c r="G19" s="645" t="s">
        <v>553</v>
      </c>
      <c r="H19" s="648"/>
      <c r="I19" s="645" t="s">
        <v>575</v>
      </c>
      <c r="J19" s="648"/>
      <c r="K19" s="645" t="s">
        <v>554</v>
      </c>
      <c r="L19" s="648"/>
      <c r="M19" s="645" t="s">
        <v>554</v>
      </c>
      <c r="N19" s="648"/>
      <c r="O19" s="134"/>
      <c r="P19" s="134"/>
      <c r="Q19" s="134"/>
      <c r="R19" s="134"/>
    </row>
    <row r="20" spans="1:254" ht="16.5" thickBot="1">
      <c r="A20" s="463" t="s">
        <v>510</v>
      </c>
      <c r="B20" s="644"/>
      <c r="C20" s="644"/>
      <c r="D20" s="644"/>
      <c r="E20" s="644"/>
      <c r="F20" s="644"/>
      <c r="G20" s="118" t="s">
        <v>38</v>
      </c>
      <c r="H20" s="118" t="s">
        <v>39</v>
      </c>
      <c r="I20" s="118" t="s">
        <v>38</v>
      </c>
      <c r="J20" s="118" t="s">
        <v>39</v>
      </c>
      <c r="K20" s="118" t="s">
        <v>38</v>
      </c>
      <c r="L20" s="118" t="s">
        <v>39</v>
      </c>
      <c r="M20" s="118" t="s">
        <v>38</v>
      </c>
      <c r="N20" s="118" t="s">
        <v>39</v>
      </c>
      <c r="O20" s="134"/>
      <c r="P20" s="134"/>
      <c r="Q20" s="134"/>
      <c r="R20" s="134"/>
    </row>
    <row r="21" spans="1:254">
      <c r="A21" s="463" t="s">
        <v>510</v>
      </c>
      <c r="B21" s="119" t="s">
        <v>115</v>
      </c>
      <c r="C21" s="120" t="s">
        <v>116</v>
      </c>
      <c r="D21" s="120" t="s">
        <v>117</v>
      </c>
      <c r="E21" s="120" t="s">
        <v>118</v>
      </c>
      <c r="F21" s="119" t="s">
        <v>119</v>
      </c>
      <c r="G21" s="121" t="s">
        <v>120</v>
      </c>
      <c r="H21" s="121" t="s">
        <v>121</v>
      </c>
      <c r="I21" s="122">
        <v>8</v>
      </c>
      <c r="J21" s="123">
        <v>9</v>
      </c>
      <c r="K21" s="124">
        <v>10</v>
      </c>
      <c r="L21" s="123">
        <v>11</v>
      </c>
      <c r="M21" s="124">
        <v>12</v>
      </c>
      <c r="N21" s="123">
        <v>13</v>
      </c>
      <c r="O21" s="125"/>
      <c r="P21" s="125"/>
      <c r="Q21" s="125"/>
      <c r="R21" s="125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  <c r="DQ21" s="99"/>
      <c r="DR21" s="99"/>
      <c r="DS21" s="99"/>
      <c r="DT21" s="99"/>
      <c r="DU21" s="99"/>
      <c r="DV21" s="99"/>
      <c r="DW21" s="99"/>
      <c r="DX21" s="99"/>
      <c r="DY21" s="99"/>
      <c r="DZ21" s="99"/>
      <c r="EA21" s="99"/>
      <c r="EB21" s="99"/>
      <c r="EC21" s="99"/>
      <c r="ED21" s="99"/>
      <c r="EE21" s="99"/>
      <c r="EF21" s="99"/>
      <c r="EG21" s="99"/>
      <c r="EH21" s="99"/>
      <c r="EI21" s="99"/>
      <c r="EJ21" s="99"/>
      <c r="EK21" s="99"/>
      <c r="EL21" s="99"/>
      <c r="EM21" s="99"/>
      <c r="EN21" s="99"/>
      <c r="EO21" s="99"/>
      <c r="EP21" s="99"/>
      <c r="EQ21" s="99"/>
      <c r="ER21" s="99"/>
      <c r="ES21" s="99"/>
      <c r="ET21" s="99"/>
      <c r="EU21" s="99"/>
      <c r="EV21" s="99"/>
      <c r="EW21" s="99"/>
      <c r="EX21" s="99"/>
      <c r="EY21" s="99"/>
      <c r="EZ21" s="99"/>
      <c r="FA21" s="99"/>
      <c r="FB21" s="99"/>
      <c r="FC21" s="99"/>
      <c r="FD21" s="99"/>
      <c r="FE21" s="99"/>
      <c r="FF21" s="99"/>
      <c r="FG21" s="99"/>
      <c r="FH21" s="99"/>
      <c r="FI21" s="99"/>
      <c r="FJ21" s="99"/>
      <c r="FK21" s="99"/>
      <c r="FL21" s="99"/>
      <c r="FM21" s="99"/>
      <c r="FN21" s="99"/>
      <c r="FO21" s="99"/>
      <c r="FP21" s="99"/>
      <c r="FQ21" s="99"/>
      <c r="FR21" s="99"/>
      <c r="FS21" s="99"/>
      <c r="FT21" s="99"/>
      <c r="FU21" s="99"/>
      <c r="FV21" s="99"/>
      <c r="FW21" s="99"/>
      <c r="FX21" s="99"/>
      <c r="FY21" s="99"/>
      <c r="FZ21" s="99"/>
      <c r="GA21" s="99"/>
      <c r="GB21" s="99"/>
      <c r="GC21" s="99"/>
      <c r="GD21" s="99"/>
      <c r="GE21" s="99"/>
      <c r="GF21" s="99"/>
      <c r="GG21" s="99"/>
      <c r="GH21" s="99"/>
      <c r="GI21" s="99"/>
      <c r="GJ21" s="99"/>
      <c r="GK21" s="99"/>
      <c r="GL21" s="99"/>
      <c r="GM21" s="99"/>
      <c r="GN21" s="99"/>
      <c r="GO21" s="99"/>
      <c r="GP21" s="99"/>
      <c r="GQ21" s="99"/>
      <c r="GR21" s="99"/>
      <c r="GS21" s="99"/>
      <c r="GT21" s="99"/>
      <c r="GU21" s="99"/>
      <c r="GV21" s="99"/>
      <c r="GW21" s="99"/>
      <c r="GX21" s="99"/>
      <c r="GY21" s="99"/>
      <c r="GZ21" s="99"/>
      <c r="HA21" s="99"/>
      <c r="HB21" s="99"/>
      <c r="HC21" s="99"/>
      <c r="HD21" s="99"/>
      <c r="HE21" s="99"/>
      <c r="HF21" s="99"/>
      <c r="HG21" s="99"/>
      <c r="HH21" s="99"/>
      <c r="HI21" s="99"/>
      <c r="HJ21" s="99"/>
      <c r="HK21" s="99"/>
      <c r="HL21" s="99"/>
      <c r="HM21" s="99"/>
      <c r="HN21" s="99"/>
      <c r="HO21" s="99"/>
      <c r="HP21" s="99"/>
      <c r="HQ21" s="99"/>
      <c r="HR21" s="99"/>
      <c r="HS21" s="99"/>
      <c r="HT21" s="99"/>
      <c r="HU21" s="99"/>
      <c r="HV21" s="99"/>
      <c r="HW21" s="99"/>
      <c r="HX21" s="99"/>
      <c r="HY21" s="99"/>
      <c r="HZ21" s="99"/>
      <c r="IA21" s="99"/>
      <c r="IB21" s="99"/>
      <c r="IC21" s="99"/>
      <c r="ID21" s="99"/>
      <c r="IE21" s="99"/>
      <c r="IF21" s="99"/>
      <c r="IG21" s="99"/>
      <c r="IH21" s="99"/>
      <c r="II21" s="99"/>
      <c r="IJ21" s="99"/>
    </row>
    <row r="22" spans="1:254" ht="63.75" customHeight="1">
      <c r="B22" s="136" t="s">
        <v>152</v>
      </c>
      <c r="C22" s="330" t="s">
        <v>372</v>
      </c>
      <c r="D22" s="136" t="s">
        <v>232</v>
      </c>
      <c r="E22" s="331">
        <v>6</v>
      </c>
      <c r="F22" s="150"/>
      <c r="G22" s="254" t="s">
        <v>264</v>
      </c>
      <c r="H22" s="331">
        <v>6</v>
      </c>
      <c r="I22" s="254" t="s">
        <v>264</v>
      </c>
      <c r="J22" s="331">
        <v>6</v>
      </c>
      <c r="K22" s="254"/>
      <c r="L22" s="331"/>
      <c r="M22" s="254"/>
      <c r="N22" s="331"/>
      <c r="O22" s="14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99"/>
      <c r="DA22" s="99"/>
      <c r="DB22" s="99"/>
      <c r="DC22" s="99"/>
      <c r="DD22" s="99"/>
      <c r="DE22" s="99"/>
      <c r="DF22" s="99"/>
      <c r="DG22" s="99"/>
      <c r="DH22" s="99"/>
      <c r="DI22" s="99"/>
      <c r="DJ22" s="99"/>
      <c r="DK22" s="99"/>
      <c r="DL22" s="99"/>
      <c r="DM22" s="99"/>
      <c r="DN22" s="99"/>
      <c r="DO22" s="99"/>
      <c r="DP22" s="99"/>
      <c r="DQ22" s="99"/>
      <c r="DR22" s="99"/>
      <c r="DS22" s="99"/>
      <c r="DT22" s="99"/>
      <c r="DU22" s="99"/>
      <c r="DV22" s="99"/>
      <c r="DW22" s="99"/>
      <c r="DX22" s="99"/>
      <c r="DY22" s="99"/>
      <c r="DZ22" s="99"/>
      <c r="EA22" s="99"/>
      <c r="EB22" s="99"/>
      <c r="EC22" s="99"/>
      <c r="ED22" s="99"/>
      <c r="EE22" s="99"/>
      <c r="EF22" s="99"/>
      <c r="EG22" s="99"/>
      <c r="EH22" s="99"/>
      <c r="EI22" s="99"/>
      <c r="EJ22" s="99"/>
      <c r="EK22" s="99"/>
      <c r="EL22" s="99"/>
      <c r="EM22" s="99"/>
      <c r="EN22" s="99"/>
      <c r="EO22" s="99"/>
      <c r="EP22" s="99"/>
      <c r="EQ22" s="99"/>
      <c r="ER22" s="99"/>
      <c r="ES22" s="99"/>
      <c r="ET22" s="99"/>
      <c r="EU22" s="99"/>
      <c r="EV22" s="99"/>
      <c r="EW22" s="99"/>
      <c r="EX22" s="99"/>
      <c r="EY22" s="99"/>
      <c r="EZ22" s="99"/>
      <c r="FA22" s="99"/>
      <c r="FB22" s="99"/>
      <c r="FC22" s="99"/>
      <c r="FD22" s="99"/>
      <c r="FE22" s="99"/>
      <c r="FF22" s="99"/>
      <c r="FG22" s="99"/>
      <c r="FH22" s="99"/>
      <c r="FI22" s="99"/>
      <c r="FJ22" s="99"/>
      <c r="FK22" s="99"/>
      <c r="FL22" s="99"/>
      <c r="FM22" s="99"/>
      <c r="FN22" s="99"/>
      <c r="FO22" s="99"/>
      <c r="FP22" s="99"/>
      <c r="FQ22" s="99"/>
      <c r="FR22" s="99"/>
      <c r="FS22" s="99"/>
      <c r="FT22" s="99"/>
      <c r="FU22" s="99"/>
      <c r="FV22" s="99"/>
      <c r="FW22" s="99"/>
      <c r="FX22" s="99"/>
      <c r="FY22" s="99"/>
      <c r="FZ22" s="99"/>
      <c r="GA22" s="99"/>
      <c r="GB22" s="99"/>
      <c r="GC22" s="99"/>
      <c r="GD22" s="99"/>
      <c r="GE22" s="99"/>
      <c r="GF22" s="99"/>
      <c r="GG22" s="99"/>
      <c r="GH22" s="99"/>
      <c r="GI22" s="99"/>
      <c r="GJ22" s="99"/>
      <c r="GK22" s="99"/>
      <c r="GL22" s="99"/>
      <c r="GM22" s="99"/>
      <c r="GN22" s="99"/>
      <c r="GO22" s="99"/>
      <c r="GP22" s="99"/>
      <c r="GQ22" s="99"/>
      <c r="GR22" s="99"/>
      <c r="GS22" s="99"/>
      <c r="GT22" s="99"/>
      <c r="GU22" s="99"/>
      <c r="GV22" s="99"/>
      <c r="GW22" s="99"/>
      <c r="GX22" s="99"/>
      <c r="GY22" s="99"/>
      <c r="GZ22" s="99"/>
      <c r="HA22" s="99"/>
      <c r="HB22" s="99"/>
      <c r="HC22" s="99"/>
      <c r="HD22" s="99"/>
      <c r="HE22" s="99"/>
      <c r="HF22" s="99"/>
      <c r="HG22" s="99"/>
      <c r="HH22" s="99"/>
      <c r="HI22" s="99"/>
      <c r="HJ22" s="99"/>
      <c r="HK22" s="99"/>
      <c r="HL22" s="99"/>
      <c r="HM22" s="99"/>
      <c r="HN22" s="99"/>
      <c r="HO22" s="99"/>
      <c r="HP22" s="99"/>
      <c r="HQ22" s="99"/>
      <c r="HR22" s="99"/>
      <c r="HS22" s="99"/>
      <c r="HT22" s="99"/>
      <c r="HU22" s="99"/>
      <c r="HV22" s="99"/>
      <c r="HW22" s="99"/>
      <c r="HX22" s="99"/>
      <c r="HY22" s="99"/>
      <c r="HZ22" s="99"/>
      <c r="IA22" s="99"/>
      <c r="IB22" s="99"/>
      <c r="IC22" s="99"/>
      <c r="ID22" s="99"/>
      <c r="IE22" s="99"/>
      <c r="IF22" s="99"/>
      <c r="IG22" s="99"/>
      <c r="IH22" s="99"/>
      <c r="II22" s="99"/>
      <c r="IJ22" s="99"/>
      <c r="IT22" s="112"/>
    </row>
    <row r="23" spans="1:254" ht="31.5">
      <c r="B23" s="136" t="s">
        <v>193</v>
      </c>
      <c r="C23" s="290" t="s">
        <v>233</v>
      </c>
      <c r="D23" s="136" t="s">
        <v>232</v>
      </c>
      <c r="E23" s="159">
        <v>0</v>
      </c>
      <c r="F23" s="150"/>
      <c r="G23" s="254" t="s">
        <v>264</v>
      </c>
      <c r="H23" s="159">
        <v>0</v>
      </c>
      <c r="I23" s="254" t="s">
        <v>264</v>
      </c>
      <c r="J23" s="159">
        <v>0</v>
      </c>
      <c r="K23" s="254"/>
      <c r="L23" s="159"/>
      <c r="M23" s="254"/>
      <c r="N23" s="159"/>
      <c r="O23" s="148">
        <v>166</v>
      </c>
      <c r="P23" s="99">
        <f>(2.725-1.02)*0.3*0.3*32+(1.45-1.02)*0.3*0.3*86+(0.955-0.475)*0.3*0.3*48</f>
        <v>10.312199999999997</v>
      </c>
      <c r="Q23" s="144">
        <f>O23-E23</f>
        <v>166</v>
      </c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  <c r="CH23" s="99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99"/>
      <c r="DA23" s="99"/>
      <c r="DB23" s="99"/>
      <c r="DC23" s="99"/>
      <c r="DD23" s="99"/>
      <c r="DE23" s="99"/>
      <c r="DF23" s="99"/>
      <c r="DG23" s="99"/>
      <c r="DH23" s="99"/>
      <c r="DI23" s="99"/>
      <c r="DJ23" s="99"/>
      <c r="DK23" s="99"/>
      <c r="DL23" s="99"/>
      <c r="DM23" s="99"/>
      <c r="DN23" s="99"/>
      <c r="DO23" s="99"/>
      <c r="DP23" s="99"/>
      <c r="DQ23" s="99"/>
      <c r="DR23" s="99"/>
      <c r="DS23" s="99"/>
      <c r="DT23" s="99"/>
      <c r="DU23" s="99"/>
      <c r="DV23" s="99"/>
      <c r="DW23" s="99"/>
      <c r="DX23" s="99"/>
      <c r="DY23" s="99"/>
      <c r="DZ23" s="99"/>
      <c r="EA23" s="99"/>
      <c r="EB23" s="99"/>
      <c r="EC23" s="99"/>
      <c r="ED23" s="99"/>
      <c r="EE23" s="99"/>
      <c r="EF23" s="99"/>
      <c r="EG23" s="99"/>
      <c r="EH23" s="99"/>
      <c r="EI23" s="99"/>
      <c r="EJ23" s="99"/>
      <c r="EK23" s="99"/>
      <c r="EL23" s="99"/>
      <c r="EM23" s="99"/>
      <c r="EN23" s="99"/>
      <c r="EO23" s="99"/>
      <c r="EP23" s="99"/>
      <c r="EQ23" s="99"/>
      <c r="ER23" s="99"/>
      <c r="ES23" s="99"/>
      <c r="ET23" s="99"/>
      <c r="EU23" s="99"/>
      <c r="EV23" s="99"/>
      <c r="EW23" s="99"/>
      <c r="EX23" s="99"/>
      <c r="EY23" s="99"/>
      <c r="EZ23" s="99"/>
      <c r="FA23" s="99"/>
      <c r="FB23" s="99"/>
      <c r="FC23" s="99"/>
      <c r="FD23" s="99"/>
      <c r="FE23" s="99"/>
      <c r="FF23" s="99"/>
      <c r="FG23" s="99"/>
      <c r="FH23" s="99"/>
      <c r="FI23" s="99"/>
      <c r="FJ23" s="99"/>
      <c r="FK23" s="99"/>
      <c r="FL23" s="99"/>
      <c r="FM23" s="99"/>
      <c r="FN23" s="99"/>
      <c r="FO23" s="99"/>
      <c r="FP23" s="99"/>
      <c r="FQ23" s="99"/>
      <c r="FR23" s="99"/>
      <c r="FS23" s="99"/>
      <c r="FT23" s="99"/>
      <c r="FU23" s="99"/>
      <c r="FV23" s="99"/>
      <c r="FW23" s="99"/>
      <c r="FX23" s="99"/>
      <c r="FY23" s="99"/>
      <c r="FZ23" s="99"/>
      <c r="GA23" s="99"/>
      <c r="GB23" s="99"/>
      <c r="GC23" s="99"/>
      <c r="GD23" s="99"/>
      <c r="GE23" s="99"/>
      <c r="GF23" s="99"/>
      <c r="GG23" s="99"/>
      <c r="GH23" s="99"/>
      <c r="GI23" s="99"/>
      <c r="GJ23" s="99"/>
      <c r="GK23" s="99"/>
      <c r="GL23" s="99"/>
      <c r="GM23" s="99"/>
      <c r="GN23" s="99"/>
      <c r="GO23" s="99"/>
      <c r="GP23" s="99"/>
      <c r="GQ23" s="99"/>
      <c r="GR23" s="99"/>
      <c r="GS23" s="99"/>
      <c r="GT23" s="99"/>
      <c r="GU23" s="99"/>
      <c r="GV23" s="99"/>
      <c r="GW23" s="99"/>
      <c r="GX23" s="99"/>
      <c r="GY23" s="99"/>
      <c r="GZ23" s="99"/>
      <c r="HA23" s="99"/>
      <c r="HB23" s="99"/>
      <c r="HC23" s="99"/>
      <c r="HD23" s="99"/>
      <c r="HE23" s="99"/>
      <c r="HF23" s="99"/>
      <c r="HG23" s="99"/>
      <c r="HH23" s="99"/>
      <c r="HI23" s="99"/>
      <c r="HJ23" s="99"/>
      <c r="HK23" s="99"/>
      <c r="HL23" s="99"/>
      <c r="HM23" s="99"/>
      <c r="HN23" s="99"/>
      <c r="HO23" s="99"/>
      <c r="HP23" s="99"/>
      <c r="HQ23" s="99"/>
      <c r="HR23" s="99"/>
      <c r="HS23" s="99"/>
      <c r="HT23" s="99"/>
      <c r="HU23" s="99"/>
      <c r="HV23" s="99"/>
      <c r="HW23" s="99"/>
      <c r="HX23" s="99"/>
      <c r="HY23" s="99"/>
      <c r="HZ23" s="99"/>
      <c r="IA23" s="99"/>
      <c r="IB23" s="99"/>
      <c r="IC23" s="99"/>
      <c r="ID23" s="99"/>
      <c r="IE23" s="99"/>
      <c r="IF23" s="99"/>
      <c r="IG23" s="99"/>
      <c r="IH23" s="99"/>
      <c r="II23" s="99"/>
      <c r="IJ23" s="99"/>
      <c r="IT23" s="112"/>
    </row>
    <row r="24" spans="1:254" ht="31.5">
      <c r="B24" s="207" t="s">
        <v>270</v>
      </c>
      <c r="C24" s="287" t="s">
        <v>275</v>
      </c>
      <c r="D24" s="137" t="s">
        <v>562</v>
      </c>
      <c r="E24" s="282" t="s">
        <v>272</v>
      </c>
      <c r="F24" s="226"/>
      <c r="G24" s="137" t="s">
        <v>557</v>
      </c>
      <c r="H24" s="282" t="s">
        <v>272</v>
      </c>
      <c r="I24" s="137" t="s">
        <v>557</v>
      </c>
      <c r="J24" s="282" t="s">
        <v>272</v>
      </c>
      <c r="K24" s="137"/>
      <c r="L24" s="282"/>
      <c r="M24" s="137"/>
      <c r="N24" s="282"/>
      <c r="O24" s="148">
        <f>86</f>
        <v>86</v>
      </c>
      <c r="P24" s="99">
        <f>0.3*0.3*0.43*86</f>
        <v>3.3281999999999998</v>
      </c>
      <c r="Q24" s="144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99"/>
      <c r="CF24" s="99"/>
      <c r="CG24" s="99"/>
      <c r="CH24" s="99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99"/>
      <c r="DA24" s="99"/>
      <c r="DB24" s="99"/>
      <c r="DC24" s="99"/>
      <c r="DD24" s="99"/>
      <c r="DE24" s="99"/>
      <c r="DF24" s="99"/>
      <c r="DG24" s="99"/>
      <c r="DH24" s="99"/>
      <c r="DI24" s="99"/>
      <c r="DJ24" s="99"/>
      <c r="DK24" s="99"/>
      <c r="DL24" s="99"/>
      <c r="DM24" s="99"/>
      <c r="DN24" s="99"/>
      <c r="DO24" s="99"/>
      <c r="DP24" s="99"/>
      <c r="DQ24" s="99"/>
      <c r="DR24" s="99"/>
      <c r="DS24" s="99"/>
      <c r="DT24" s="99"/>
      <c r="DU24" s="99"/>
      <c r="DV24" s="99"/>
      <c r="DW24" s="99"/>
      <c r="DX24" s="99"/>
      <c r="DY24" s="99"/>
      <c r="DZ24" s="99"/>
      <c r="EA24" s="99"/>
      <c r="EB24" s="99"/>
      <c r="EC24" s="99"/>
      <c r="ED24" s="99"/>
      <c r="EE24" s="99"/>
      <c r="EF24" s="99"/>
      <c r="EG24" s="99"/>
      <c r="EH24" s="99"/>
      <c r="EI24" s="99"/>
      <c r="EJ24" s="99"/>
      <c r="EK24" s="99"/>
      <c r="EL24" s="99"/>
      <c r="EM24" s="99"/>
      <c r="EN24" s="99"/>
      <c r="EO24" s="99"/>
      <c r="EP24" s="99"/>
      <c r="EQ24" s="99"/>
      <c r="ER24" s="99"/>
      <c r="ES24" s="99"/>
      <c r="ET24" s="99"/>
      <c r="EU24" s="99"/>
      <c r="EV24" s="99"/>
      <c r="EW24" s="99"/>
      <c r="EX24" s="99"/>
      <c r="EY24" s="99"/>
      <c r="EZ24" s="99"/>
      <c r="FA24" s="99"/>
      <c r="FB24" s="99"/>
      <c r="FC24" s="99"/>
      <c r="FD24" s="99"/>
      <c r="FE24" s="99"/>
      <c r="FF24" s="99"/>
      <c r="FG24" s="99"/>
      <c r="FH24" s="99"/>
      <c r="FI24" s="99"/>
      <c r="FJ24" s="99"/>
      <c r="FK24" s="99"/>
      <c r="FL24" s="99"/>
      <c r="FM24" s="99"/>
      <c r="FN24" s="99"/>
      <c r="FO24" s="99"/>
      <c r="FP24" s="99"/>
      <c r="FQ24" s="99"/>
      <c r="FR24" s="99"/>
      <c r="FS24" s="99"/>
      <c r="FT24" s="99"/>
      <c r="FU24" s="99"/>
      <c r="FV24" s="99"/>
      <c r="FW24" s="99"/>
      <c r="FX24" s="99"/>
      <c r="FY24" s="99"/>
      <c r="FZ24" s="99"/>
      <c r="GA24" s="99"/>
      <c r="GB24" s="99"/>
      <c r="GC24" s="99"/>
      <c r="GD24" s="99"/>
      <c r="GE24" s="99"/>
      <c r="GF24" s="99"/>
      <c r="GG24" s="99"/>
      <c r="GH24" s="99"/>
      <c r="GI24" s="99"/>
      <c r="GJ24" s="99"/>
      <c r="GK24" s="99"/>
      <c r="GL24" s="99"/>
      <c r="GM24" s="99"/>
      <c r="GN24" s="99"/>
      <c r="GO24" s="99"/>
      <c r="GP24" s="99"/>
      <c r="GQ24" s="99"/>
      <c r="GR24" s="99"/>
      <c r="GS24" s="99"/>
      <c r="GT24" s="99"/>
      <c r="GU24" s="99"/>
      <c r="GV24" s="99"/>
      <c r="GW24" s="99"/>
      <c r="GX24" s="99"/>
      <c r="GY24" s="99"/>
      <c r="GZ24" s="99"/>
      <c r="HA24" s="99"/>
      <c r="HB24" s="99"/>
      <c r="HC24" s="99"/>
      <c r="HD24" s="99"/>
      <c r="HE24" s="99"/>
      <c r="HF24" s="99"/>
      <c r="HG24" s="99"/>
      <c r="HH24" s="99"/>
      <c r="HI24" s="99"/>
      <c r="HJ24" s="99"/>
      <c r="HK24" s="99"/>
      <c r="HL24" s="99"/>
      <c r="HM24" s="99"/>
      <c r="HN24" s="99"/>
      <c r="HO24" s="99"/>
      <c r="HP24" s="99"/>
      <c r="HQ24" s="99"/>
      <c r="HR24" s="99"/>
      <c r="HS24" s="99"/>
      <c r="HT24" s="99"/>
      <c r="HU24" s="99"/>
      <c r="HV24" s="99"/>
      <c r="HW24" s="99"/>
      <c r="HX24" s="99"/>
      <c r="HY24" s="99"/>
      <c r="HZ24" s="99"/>
      <c r="IA24" s="99"/>
      <c r="IB24" s="99"/>
      <c r="IC24" s="99"/>
      <c r="ID24" s="99"/>
      <c r="IE24" s="99"/>
      <c r="IF24" s="99"/>
      <c r="IG24" s="99"/>
      <c r="IH24" s="99"/>
      <c r="II24" s="99"/>
      <c r="IJ24" s="99"/>
      <c r="IT24" s="112"/>
    </row>
    <row r="25" spans="1:254" ht="31.5">
      <c r="B25" s="207" t="s">
        <v>273</v>
      </c>
      <c r="C25" s="287" t="s">
        <v>276</v>
      </c>
      <c r="D25" s="137" t="s">
        <v>562</v>
      </c>
      <c r="E25" s="282" t="s">
        <v>278</v>
      </c>
      <c r="F25" s="258"/>
      <c r="G25" s="137" t="s">
        <v>557</v>
      </c>
      <c r="H25" s="282" t="s">
        <v>278</v>
      </c>
      <c r="I25" s="137" t="s">
        <v>557</v>
      </c>
      <c r="J25" s="282" t="s">
        <v>278</v>
      </c>
      <c r="K25" s="137"/>
      <c r="L25" s="282"/>
      <c r="M25" s="137"/>
      <c r="N25" s="282"/>
      <c r="O25" s="148">
        <f>48</f>
        <v>48</v>
      </c>
      <c r="P25" s="99">
        <f>0.3*0.3*0.48*48</f>
        <v>2.0735999999999999</v>
      </c>
      <c r="Q25" s="144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  <c r="DY25" s="99"/>
      <c r="DZ25" s="99"/>
      <c r="EA25" s="99"/>
      <c r="EB25" s="99"/>
      <c r="EC25" s="99"/>
      <c r="ED25" s="99"/>
      <c r="EE25" s="99"/>
      <c r="EF25" s="99"/>
      <c r="EG25" s="99"/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99"/>
      <c r="HU25" s="99"/>
      <c r="HV25" s="99"/>
      <c r="HW25" s="99"/>
      <c r="HX25" s="99"/>
      <c r="HY25" s="99"/>
      <c r="HZ25" s="99"/>
      <c r="IA25" s="99"/>
      <c r="IB25" s="99"/>
      <c r="IC25" s="99"/>
      <c r="ID25" s="99"/>
      <c r="IE25" s="99"/>
      <c r="IF25" s="99"/>
      <c r="IG25" s="99"/>
      <c r="IH25" s="99"/>
      <c r="II25" s="99"/>
      <c r="IJ25" s="99"/>
      <c r="IT25" s="112"/>
    </row>
    <row r="26" spans="1:254" ht="31.5">
      <c r="B26" s="207" t="s">
        <v>274</v>
      </c>
      <c r="C26" s="287" t="s">
        <v>277</v>
      </c>
      <c r="D26" s="137" t="s">
        <v>562</v>
      </c>
      <c r="E26" s="282" t="s">
        <v>271</v>
      </c>
      <c r="F26" s="226"/>
      <c r="G26" s="137" t="s">
        <v>557</v>
      </c>
      <c r="H26" s="282" t="s">
        <v>271</v>
      </c>
      <c r="I26" s="137" t="s">
        <v>557</v>
      </c>
      <c r="J26" s="282" t="s">
        <v>271</v>
      </c>
      <c r="K26" s="137"/>
      <c r="L26" s="282"/>
      <c r="M26" s="137"/>
      <c r="N26" s="282"/>
      <c r="O26" s="148">
        <f>16</f>
        <v>16</v>
      </c>
      <c r="P26" s="99">
        <f>0.3*0.3*1.705*16</f>
        <v>2.4552</v>
      </c>
      <c r="Q26" s="144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99"/>
      <c r="DA26" s="99"/>
      <c r="DB26" s="99"/>
      <c r="DC26" s="99"/>
      <c r="DD26" s="99"/>
      <c r="DE26" s="99"/>
      <c r="DF26" s="99"/>
      <c r="DG26" s="99"/>
      <c r="DH26" s="99"/>
      <c r="DI26" s="99"/>
      <c r="DJ26" s="99"/>
      <c r="DK26" s="99"/>
      <c r="DL26" s="99"/>
      <c r="DM26" s="99"/>
      <c r="DN26" s="99"/>
      <c r="DO26" s="99"/>
      <c r="DP26" s="99"/>
      <c r="DQ26" s="99"/>
      <c r="DR26" s="99"/>
      <c r="DS26" s="99"/>
      <c r="DT26" s="99"/>
      <c r="DU26" s="99"/>
      <c r="DV26" s="99"/>
      <c r="DW26" s="99"/>
      <c r="DX26" s="99"/>
      <c r="DY26" s="99"/>
      <c r="DZ26" s="99"/>
      <c r="EA26" s="99"/>
      <c r="EB26" s="99"/>
      <c r="EC26" s="99"/>
      <c r="ED26" s="99"/>
      <c r="EE26" s="99"/>
      <c r="EF26" s="99"/>
      <c r="EG26" s="99"/>
      <c r="EH26" s="99"/>
      <c r="EI26" s="99"/>
      <c r="EJ26" s="99"/>
      <c r="EK26" s="99"/>
      <c r="EL26" s="99"/>
      <c r="EM26" s="99"/>
      <c r="EN26" s="99"/>
      <c r="EO26" s="99"/>
      <c r="EP26" s="99"/>
      <c r="EQ26" s="99"/>
      <c r="ER26" s="99"/>
      <c r="ES26" s="99"/>
      <c r="ET26" s="99"/>
      <c r="EU26" s="99"/>
      <c r="EV26" s="99"/>
      <c r="EW26" s="99"/>
      <c r="EX26" s="99"/>
      <c r="EY26" s="99"/>
      <c r="EZ26" s="99"/>
      <c r="FA26" s="99"/>
      <c r="FB26" s="99"/>
      <c r="FC26" s="99"/>
      <c r="FD26" s="99"/>
      <c r="FE26" s="99"/>
      <c r="FF26" s="99"/>
      <c r="FG26" s="99"/>
      <c r="FH26" s="99"/>
      <c r="FI26" s="99"/>
      <c r="FJ26" s="99"/>
      <c r="FK26" s="99"/>
      <c r="FL26" s="99"/>
      <c r="FM26" s="99"/>
      <c r="FN26" s="99"/>
      <c r="FO26" s="99"/>
      <c r="FP26" s="99"/>
      <c r="FQ26" s="99"/>
      <c r="FR26" s="99"/>
      <c r="FS26" s="99"/>
      <c r="FT26" s="99"/>
      <c r="FU26" s="99"/>
      <c r="FV26" s="99"/>
      <c r="FW26" s="99"/>
      <c r="FX26" s="99"/>
      <c r="FY26" s="99"/>
      <c r="FZ26" s="99"/>
      <c r="GA26" s="99"/>
      <c r="GB26" s="99"/>
      <c r="GC26" s="99"/>
      <c r="GD26" s="99"/>
      <c r="GE26" s="99"/>
      <c r="GF26" s="99"/>
      <c r="GG26" s="99"/>
      <c r="GH26" s="99"/>
      <c r="GI26" s="99"/>
      <c r="GJ26" s="99"/>
      <c r="GK26" s="99"/>
      <c r="GL26" s="99"/>
      <c r="GM26" s="99"/>
      <c r="GN26" s="99"/>
      <c r="GO26" s="99"/>
      <c r="GP26" s="99"/>
      <c r="GQ26" s="99"/>
      <c r="GR26" s="99"/>
      <c r="GS26" s="99"/>
      <c r="GT26" s="99"/>
      <c r="GU26" s="99"/>
      <c r="GV26" s="99"/>
      <c r="GW26" s="99"/>
      <c r="GX26" s="99"/>
      <c r="GY26" s="99"/>
      <c r="GZ26" s="99"/>
      <c r="HA26" s="99"/>
      <c r="HB26" s="99"/>
      <c r="HC26" s="99"/>
      <c r="HD26" s="99"/>
      <c r="HE26" s="99"/>
      <c r="HF26" s="99"/>
      <c r="HG26" s="99"/>
      <c r="HH26" s="99"/>
      <c r="HI26" s="99"/>
      <c r="HJ26" s="99"/>
      <c r="HK26" s="99"/>
      <c r="HL26" s="99"/>
      <c r="HM26" s="99"/>
      <c r="HN26" s="99"/>
      <c r="HO26" s="99"/>
      <c r="HP26" s="99"/>
      <c r="HQ26" s="99"/>
      <c r="HR26" s="99"/>
      <c r="HS26" s="99"/>
      <c r="HT26" s="99"/>
      <c r="HU26" s="99"/>
      <c r="HV26" s="99"/>
      <c r="HW26" s="99"/>
      <c r="HX26" s="99"/>
      <c r="HY26" s="99"/>
      <c r="HZ26" s="99"/>
      <c r="IA26" s="99"/>
      <c r="IB26" s="99"/>
      <c r="IC26" s="99"/>
      <c r="ID26" s="99"/>
      <c r="IE26" s="99"/>
      <c r="IF26" s="99"/>
      <c r="IG26" s="99"/>
      <c r="IH26" s="99"/>
      <c r="II26" s="99"/>
      <c r="IJ26" s="99"/>
      <c r="IT26" s="112"/>
    </row>
    <row r="27" spans="1:254" ht="32.25" thickBot="1">
      <c r="B27" s="242"/>
      <c r="C27" s="291" t="s">
        <v>240</v>
      </c>
      <c r="D27" s="243"/>
      <c r="E27" s="253"/>
      <c r="F27" s="243"/>
      <c r="G27" s="244"/>
      <c r="H27" s="253"/>
      <c r="I27" s="244"/>
      <c r="J27" s="253"/>
      <c r="K27" s="244"/>
      <c r="L27" s="253"/>
      <c r="M27" s="244"/>
      <c r="N27" s="253"/>
      <c r="O27" s="128"/>
      <c r="P27" s="128"/>
      <c r="Q27" s="125"/>
      <c r="R27" s="125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99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P27" s="99"/>
      <c r="DQ27" s="99"/>
      <c r="DR27" s="99"/>
      <c r="DS27" s="99"/>
      <c r="DT27" s="99"/>
      <c r="DU27" s="99"/>
      <c r="DV27" s="99"/>
      <c r="DW27" s="99"/>
      <c r="DX27" s="99"/>
      <c r="DY27" s="99"/>
      <c r="DZ27" s="99"/>
      <c r="EA27" s="99"/>
      <c r="EB27" s="99"/>
      <c r="EC27" s="99"/>
      <c r="ED27" s="99"/>
      <c r="EE27" s="99"/>
      <c r="EF27" s="99"/>
      <c r="EG27" s="99"/>
      <c r="EH27" s="99"/>
      <c r="EI27" s="99"/>
      <c r="EJ27" s="99"/>
      <c r="EK27" s="99"/>
      <c r="EL27" s="99"/>
      <c r="EM27" s="99"/>
      <c r="EN27" s="99"/>
      <c r="EO27" s="99"/>
      <c r="EP27" s="99"/>
      <c r="EQ27" s="99"/>
      <c r="ER27" s="99"/>
      <c r="ES27" s="99"/>
      <c r="ET27" s="99"/>
      <c r="EU27" s="99"/>
      <c r="EV27" s="99"/>
      <c r="EW27" s="99"/>
      <c r="EX27" s="99"/>
      <c r="EY27" s="99"/>
      <c r="EZ27" s="99"/>
      <c r="FA27" s="99"/>
      <c r="FB27" s="99"/>
      <c r="FC27" s="99"/>
      <c r="FD27" s="99"/>
      <c r="FE27" s="99"/>
      <c r="FF27" s="99"/>
      <c r="FG27" s="99"/>
      <c r="FH27" s="99"/>
      <c r="FI27" s="99"/>
      <c r="FJ27" s="99"/>
      <c r="FK27" s="99"/>
      <c r="FL27" s="99"/>
      <c r="FM27" s="99"/>
      <c r="FN27" s="99"/>
      <c r="FO27" s="99"/>
      <c r="FP27" s="99"/>
      <c r="FQ27" s="99"/>
      <c r="FR27" s="99"/>
      <c r="FS27" s="99"/>
      <c r="FT27" s="99"/>
      <c r="FU27" s="99"/>
      <c r="FV27" s="99"/>
      <c r="FW27" s="99"/>
      <c r="FX27" s="99"/>
      <c r="FY27" s="99"/>
      <c r="FZ27" s="99"/>
      <c r="GA27" s="99"/>
      <c r="GB27" s="99"/>
      <c r="GC27" s="99"/>
      <c r="GD27" s="99"/>
      <c r="GE27" s="99"/>
      <c r="GF27" s="99"/>
      <c r="GG27" s="99"/>
      <c r="GH27" s="99"/>
      <c r="GI27" s="99"/>
      <c r="GJ27" s="99"/>
      <c r="GK27" s="99"/>
      <c r="GL27" s="99"/>
      <c r="GM27" s="99"/>
      <c r="GN27" s="99"/>
      <c r="GO27" s="99"/>
      <c r="GP27" s="99"/>
      <c r="GQ27" s="99"/>
      <c r="GR27" s="99"/>
      <c r="GS27" s="99"/>
      <c r="GT27" s="99"/>
      <c r="GU27" s="99"/>
      <c r="GV27" s="99"/>
      <c r="GW27" s="99"/>
      <c r="GX27" s="99"/>
      <c r="GY27" s="99"/>
      <c r="GZ27" s="99"/>
      <c r="HA27" s="99"/>
      <c r="HB27" s="99"/>
      <c r="HC27" s="99"/>
      <c r="HD27" s="99"/>
      <c r="HE27" s="99"/>
      <c r="HF27" s="99"/>
      <c r="HG27" s="99"/>
      <c r="HH27" s="99"/>
      <c r="HI27" s="99"/>
      <c r="HJ27" s="99"/>
      <c r="HK27" s="99"/>
      <c r="HL27" s="99"/>
      <c r="HM27" s="99"/>
      <c r="HN27" s="99"/>
      <c r="HO27" s="99"/>
      <c r="HP27" s="99"/>
      <c r="HQ27" s="99"/>
      <c r="HR27" s="99"/>
      <c r="HS27" s="99"/>
      <c r="HT27" s="99"/>
      <c r="HU27" s="99"/>
      <c r="HV27" s="99"/>
      <c r="HW27" s="99"/>
      <c r="HX27" s="99"/>
      <c r="HY27" s="99"/>
      <c r="HZ27" s="99"/>
      <c r="IA27" s="99"/>
      <c r="IB27" s="99"/>
      <c r="IC27" s="99"/>
      <c r="ID27" s="99"/>
      <c r="IE27" s="99"/>
      <c r="IF27" s="99"/>
      <c r="IG27" s="99"/>
      <c r="IH27" s="99"/>
      <c r="II27" s="99"/>
      <c r="IJ27" s="99"/>
      <c r="IT27" s="112"/>
    </row>
    <row r="28" spans="1:254" ht="18.75">
      <c r="B28" s="203" t="s">
        <v>130</v>
      </c>
      <c r="C28" s="319" t="s">
        <v>234</v>
      </c>
      <c r="D28" s="187" t="s">
        <v>560</v>
      </c>
      <c r="E28" s="176">
        <v>0.32</v>
      </c>
      <c r="F28" s="175"/>
      <c r="G28" s="320" t="s">
        <v>264</v>
      </c>
      <c r="H28" s="176">
        <v>0.32</v>
      </c>
      <c r="I28" s="320" t="s">
        <v>264</v>
      </c>
      <c r="J28" s="176">
        <v>0.32</v>
      </c>
      <c r="K28" s="320"/>
      <c r="L28" s="176"/>
      <c r="M28" s="320"/>
      <c r="N28" s="176"/>
      <c r="O28" s="144">
        <f>0.1*1.7*1.7</f>
        <v>0.28900000000000003</v>
      </c>
      <c r="P28" s="144">
        <v>0.32</v>
      </c>
      <c r="Q28" s="144">
        <f>P28-O28</f>
        <v>3.0999999999999972E-2</v>
      </c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99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P28" s="99"/>
      <c r="DQ28" s="99"/>
      <c r="DR28" s="99"/>
      <c r="DS28" s="99"/>
      <c r="DT28" s="99"/>
      <c r="DU28" s="99"/>
      <c r="DV28" s="99"/>
      <c r="DW28" s="99"/>
      <c r="DX28" s="99"/>
      <c r="DY28" s="99"/>
      <c r="DZ28" s="99"/>
      <c r="EA28" s="99"/>
      <c r="EB28" s="99"/>
      <c r="EC28" s="99"/>
      <c r="ED28" s="99"/>
      <c r="EE28" s="99"/>
      <c r="EF28" s="99"/>
      <c r="EG28" s="99"/>
      <c r="EH28" s="99"/>
      <c r="EI28" s="99"/>
      <c r="EJ28" s="99"/>
      <c r="EK28" s="99"/>
      <c r="EL28" s="99"/>
      <c r="EM28" s="99"/>
      <c r="EN28" s="99"/>
      <c r="EO28" s="99"/>
      <c r="EP28" s="99"/>
      <c r="EQ28" s="99"/>
      <c r="ER28" s="99"/>
      <c r="ES28" s="99"/>
      <c r="ET28" s="99"/>
      <c r="EU28" s="99"/>
      <c r="EV28" s="99"/>
      <c r="EW28" s="99"/>
      <c r="EX28" s="99"/>
      <c r="EY28" s="99"/>
      <c r="EZ28" s="99"/>
      <c r="FA28" s="99"/>
      <c r="FB28" s="99"/>
      <c r="FC28" s="99"/>
      <c r="FD28" s="99"/>
      <c r="FE28" s="99"/>
      <c r="FF28" s="99"/>
      <c r="FG28" s="99"/>
      <c r="FH28" s="99"/>
      <c r="FI28" s="99"/>
      <c r="FJ28" s="99"/>
      <c r="FK28" s="99"/>
      <c r="FL28" s="99"/>
      <c r="FM28" s="99"/>
      <c r="FN28" s="99"/>
      <c r="FO28" s="99"/>
      <c r="FP28" s="99"/>
      <c r="FQ28" s="99"/>
      <c r="FR28" s="99"/>
      <c r="FS28" s="99"/>
      <c r="FT28" s="99"/>
      <c r="FU28" s="99"/>
      <c r="FV28" s="99"/>
      <c r="FW28" s="99"/>
      <c r="FX28" s="99"/>
      <c r="FY28" s="99"/>
      <c r="FZ28" s="99"/>
      <c r="GA28" s="99"/>
      <c r="GB28" s="99"/>
      <c r="GC28" s="99"/>
      <c r="GD28" s="99"/>
      <c r="GE28" s="99"/>
      <c r="GF28" s="99"/>
      <c r="GG28" s="99"/>
      <c r="GH28" s="99"/>
      <c r="GI28" s="99"/>
      <c r="GJ28" s="99"/>
      <c r="GK28" s="99"/>
      <c r="GL28" s="99"/>
      <c r="GM28" s="99"/>
      <c r="GN28" s="99"/>
      <c r="GO28" s="99"/>
      <c r="GP28" s="99"/>
      <c r="GQ28" s="99"/>
      <c r="GR28" s="99"/>
      <c r="GS28" s="99"/>
      <c r="GT28" s="99"/>
      <c r="GU28" s="99"/>
      <c r="GV28" s="99"/>
      <c r="GW28" s="99"/>
      <c r="GX28" s="99"/>
      <c r="GY28" s="99"/>
      <c r="GZ28" s="99"/>
      <c r="HA28" s="99"/>
      <c r="HB28" s="99"/>
      <c r="HC28" s="99"/>
      <c r="HD28" s="99"/>
      <c r="HE28" s="99"/>
      <c r="HF28" s="99"/>
      <c r="HG28" s="99"/>
      <c r="HH28" s="99"/>
      <c r="HI28" s="99"/>
      <c r="HJ28" s="99"/>
      <c r="HK28" s="99"/>
      <c r="HL28" s="99"/>
      <c r="HM28" s="99"/>
      <c r="HN28" s="99"/>
      <c r="HO28" s="99"/>
      <c r="HP28" s="99"/>
      <c r="HQ28" s="99"/>
      <c r="HR28" s="99"/>
      <c r="HS28" s="99"/>
      <c r="HT28" s="99"/>
      <c r="HU28" s="99"/>
      <c r="HV28" s="99"/>
      <c r="HW28" s="99"/>
      <c r="HX28" s="99"/>
      <c r="HY28" s="99"/>
      <c r="HZ28" s="99"/>
      <c r="IA28" s="99"/>
      <c r="IB28" s="99"/>
      <c r="IC28" s="99"/>
      <c r="ID28" s="99"/>
      <c r="IE28" s="99"/>
      <c r="IF28" s="99"/>
      <c r="IG28" s="99"/>
      <c r="IH28" s="99"/>
      <c r="II28" s="99"/>
      <c r="IJ28" s="99"/>
    </row>
    <row r="29" spans="1:254" ht="34.5">
      <c r="B29" s="186" t="s">
        <v>131</v>
      </c>
      <c r="C29" s="330" t="s">
        <v>312</v>
      </c>
      <c r="D29" s="136" t="s">
        <v>560</v>
      </c>
      <c r="E29" s="159">
        <v>3.07</v>
      </c>
      <c r="F29" s="160"/>
      <c r="G29" s="138" t="s">
        <v>264</v>
      </c>
      <c r="H29" s="159">
        <v>3.07</v>
      </c>
      <c r="I29" s="138" t="s">
        <v>264</v>
      </c>
      <c r="J29" s="159">
        <v>3.07</v>
      </c>
      <c r="K29" s="138"/>
      <c r="L29" s="159"/>
      <c r="M29" s="138"/>
      <c r="N29" s="159"/>
      <c r="O29" s="144">
        <f>1.5*1.5*0.6</f>
        <v>1.3499999999999999</v>
      </c>
      <c r="P29" s="144">
        <v>3.07</v>
      </c>
      <c r="Q29" s="144">
        <f>P29-H29</f>
        <v>0</v>
      </c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99"/>
      <c r="DA29" s="99"/>
      <c r="DB29" s="99"/>
      <c r="DC29" s="99"/>
      <c r="DD29" s="99"/>
      <c r="DE29" s="99"/>
      <c r="DF29" s="99"/>
      <c r="DG29" s="99"/>
      <c r="DH29" s="99"/>
      <c r="DI29" s="99"/>
      <c r="DJ29" s="99"/>
      <c r="DK29" s="99"/>
      <c r="DL29" s="99"/>
      <c r="DM29" s="99"/>
      <c r="DN29" s="99"/>
      <c r="DO29" s="99"/>
      <c r="DP29" s="99"/>
      <c r="DQ29" s="99"/>
      <c r="DR29" s="99"/>
      <c r="DS29" s="99"/>
      <c r="DT29" s="99"/>
      <c r="DU29" s="99"/>
      <c r="DV29" s="99"/>
      <c r="DW29" s="99"/>
      <c r="DX29" s="99"/>
      <c r="DY29" s="99"/>
      <c r="DZ29" s="99"/>
      <c r="EA29" s="99"/>
      <c r="EB29" s="99"/>
      <c r="EC29" s="99"/>
      <c r="ED29" s="99"/>
      <c r="EE29" s="99"/>
      <c r="EF29" s="99"/>
      <c r="EG29" s="99"/>
      <c r="EH29" s="99"/>
      <c r="EI29" s="99"/>
      <c r="EJ29" s="99"/>
      <c r="EK29" s="99"/>
      <c r="EL29" s="99"/>
      <c r="EM29" s="99"/>
      <c r="EN29" s="99"/>
      <c r="EO29" s="99"/>
      <c r="EP29" s="99"/>
      <c r="EQ29" s="99"/>
      <c r="ER29" s="99"/>
      <c r="ES29" s="99"/>
      <c r="ET29" s="99"/>
      <c r="EU29" s="99"/>
      <c r="EV29" s="99"/>
      <c r="EW29" s="99"/>
      <c r="EX29" s="99"/>
      <c r="EY29" s="99"/>
      <c r="EZ29" s="99"/>
      <c r="FA29" s="99"/>
      <c r="FB29" s="99"/>
      <c r="FC29" s="99"/>
      <c r="FD29" s="99"/>
      <c r="FE29" s="99"/>
      <c r="FF29" s="99"/>
      <c r="FG29" s="99"/>
      <c r="FH29" s="99"/>
      <c r="FI29" s="99"/>
      <c r="FJ29" s="99"/>
      <c r="FK29" s="99"/>
      <c r="FL29" s="99"/>
      <c r="FM29" s="99"/>
      <c r="FN29" s="99"/>
      <c r="FO29" s="99"/>
      <c r="FP29" s="99"/>
      <c r="FQ29" s="99"/>
      <c r="FR29" s="99"/>
      <c r="FS29" s="99"/>
      <c r="FT29" s="99"/>
      <c r="FU29" s="99"/>
      <c r="FV29" s="99"/>
      <c r="FW29" s="99"/>
      <c r="FX29" s="99"/>
      <c r="FY29" s="99"/>
      <c r="FZ29" s="99"/>
      <c r="GA29" s="99"/>
      <c r="GB29" s="99"/>
      <c r="GC29" s="99"/>
      <c r="GD29" s="99"/>
      <c r="GE29" s="99"/>
      <c r="GF29" s="99"/>
      <c r="GG29" s="99"/>
      <c r="GH29" s="99"/>
      <c r="GI29" s="99"/>
      <c r="GJ29" s="99"/>
      <c r="GK29" s="99"/>
      <c r="GL29" s="99"/>
      <c r="GM29" s="99"/>
      <c r="GN29" s="99"/>
      <c r="GO29" s="99"/>
      <c r="GP29" s="99"/>
      <c r="GQ29" s="99"/>
      <c r="GR29" s="99"/>
      <c r="GS29" s="99"/>
      <c r="GT29" s="99"/>
      <c r="GU29" s="99"/>
      <c r="GV29" s="99"/>
      <c r="GW29" s="99"/>
      <c r="GX29" s="99"/>
      <c r="GY29" s="99"/>
      <c r="GZ29" s="99"/>
      <c r="HA29" s="99"/>
      <c r="HB29" s="99"/>
      <c r="HC29" s="99"/>
      <c r="HD29" s="99"/>
      <c r="HE29" s="99"/>
      <c r="HF29" s="99"/>
      <c r="HG29" s="99"/>
      <c r="HH29" s="99"/>
      <c r="HI29" s="99"/>
      <c r="HJ29" s="99"/>
      <c r="HK29" s="99"/>
      <c r="HL29" s="99"/>
      <c r="HM29" s="99"/>
      <c r="HN29" s="99"/>
      <c r="HO29" s="99"/>
      <c r="HP29" s="99"/>
      <c r="HQ29" s="99"/>
      <c r="HR29" s="99"/>
      <c r="HS29" s="99"/>
      <c r="HT29" s="99"/>
      <c r="HU29" s="99"/>
      <c r="HV29" s="99"/>
      <c r="HW29" s="99"/>
      <c r="HX29" s="99"/>
      <c r="HY29" s="99"/>
      <c r="HZ29" s="99"/>
      <c r="IA29" s="99"/>
      <c r="IB29" s="99"/>
      <c r="IC29" s="99"/>
      <c r="ID29" s="99"/>
      <c r="IE29" s="99"/>
      <c r="IF29" s="99"/>
      <c r="IG29" s="99"/>
      <c r="IH29" s="99"/>
      <c r="II29" s="99"/>
      <c r="IJ29" s="99"/>
      <c r="IT29" s="112" t="s">
        <v>235</v>
      </c>
    </row>
    <row r="30" spans="1:254" ht="30" customHeight="1">
      <c r="B30" s="186" t="s">
        <v>161</v>
      </c>
      <c r="C30" s="293" t="s">
        <v>313</v>
      </c>
      <c r="D30" s="136" t="s">
        <v>141</v>
      </c>
      <c r="E30" s="159">
        <v>0.15</v>
      </c>
      <c r="F30" s="160"/>
      <c r="G30" s="266" t="s">
        <v>264</v>
      </c>
      <c r="H30" s="159">
        <v>0.15</v>
      </c>
      <c r="I30" s="266" t="s">
        <v>264</v>
      </c>
      <c r="J30" s="159">
        <v>0.15</v>
      </c>
      <c r="K30" s="266"/>
      <c r="L30" s="159"/>
      <c r="M30" s="266"/>
      <c r="N30" s="159"/>
      <c r="O30" s="144">
        <f>149.6/1000</f>
        <v>0.14959999999999998</v>
      </c>
      <c r="P30" s="144"/>
      <c r="Q30" s="144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99"/>
      <c r="DP30" s="99"/>
      <c r="DQ30" s="99"/>
      <c r="DR30" s="99"/>
      <c r="DS30" s="99"/>
      <c r="DT30" s="99"/>
      <c r="DU30" s="99"/>
      <c r="DV30" s="99"/>
      <c r="DW30" s="99"/>
      <c r="DX30" s="99"/>
      <c r="DY30" s="99"/>
      <c r="DZ30" s="99"/>
      <c r="EA30" s="99"/>
      <c r="EB30" s="99"/>
      <c r="EC30" s="99"/>
      <c r="ED30" s="99"/>
      <c r="EE30" s="99"/>
      <c r="EF30" s="99"/>
      <c r="EG30" s="99"/>
      <c r="EH30" s="99"/>
      <c r="EI30" s="99"/>
      <c r="EJ30" s="99"/>
      <c r="EK30" s="99"/>
      <c r="EL30" s="99"/>
      <c r="EM30" s="99"/>
      <c r="EN30" s="99"/>
      <c r="EO30" s="99"/>
      <c r="EP30" s="99"/>
      <c r="EQ30" s="99"/>
      <c r="ER30" s="99"/>
      <c r="ES30" s="99"/>
      <c r="ET30" s="99"/>
      <c r="EU30" s="99"/>
      <c r="EV30" s="99"/>
      <c r="EW30" s="99"/>
      <c r="EX30" s="99"/>
      <c r="EY30" s="99"/>
      <c r="EZ30" s="99"/>
      <c r="FA30" s="99"/>
      <c r="FB30" s="99"/>
      <c r="FC30" s="99"/>
      <c r="FD30" s="99"/>
      <c r="FE30" s="99"/>
      <c r="FF30" s="99"/>
      <c r="FG30" s="99"/>
      <c r="FH30" s="99"/>
      <c r="FI30" s="99"/>
      <c r="FJ30" s="99"/>
      <c r="FK30" s="99"/>
      <c r="FL30" s="99"/>
      <c r="FM30" s="99"/>
      <c r="FN30" s="99"/>
      <c r="FO30" s="99"/>
      <c r="FP30" s="99"/>
      <c r="FQ30" s="99"/>
      <c r="FR30" s="99"/>
      <c r="FS30" s="99"/>
      <c r="FT30" s="99"/>
      <c r="FU30" s="99"/>
      <c r="FV30" s="99"/>
      <c r="FW30" s="99"/>
      <c r="FX30" s="99"/>
      <c r="FY30" s="99"/>
      <c r="FZ30" s="99"/>
      <c r="GA30" s="99"/>
      <c r="GB30" s="99"/>
      <c r="GC30" s="99"/>
      <c r="GD30" s="99"/>
      <c r="GE30" s="99"/>
      <c r="GF30" s="99"/>
      <c r="GG30" s="99"/>
      <c r="GH30" s="99"/>
      <c r="GI30" s="99"/>
      <c r="GJ30" s="99"/>
      <c r="GK30" s="99"/>
      <c r="GL30" s="99"/>
      <c r="GM30" s="99"/>
      <c r="GN30" s="99"/>
      <c r="GO30" s="99"/>
      <c r="GP30" s="99"/>
      <c r="GQ30" s="99"/>
      <c r="GR30" s="99"/>
      <c r="GS30" s="99"/>
      <c r="GT30" s="99"/>
      <c r="GU30" s="99"/>
      <c r="GV30" s="99"/>
      <c r="GW30" s="99"/>
      <c r="GX30" s="99"/>
      <c r="GY30" s="99"/>
      <c r="GZ30" s="99"/>
      <c r="HA30" s="99"/>
      <c r="HB30" s="99"/>
      <c r="HC30" s="99"/>
      <c r="HD30" s="99"/>
      <c r="HE30" s="99"/>
      <c r="HF30" s="99"/>
      <c r="HG30" s="99"/>
      <c r="HH30" s="99"/>
      <c r="HI30" s="99"/>
      <c r="HJ30" s="99"/>
      <c r="HK30" s="99"/>
      <c r="HL30" s="99"/>
      <c r="HM30" s="99"/>
      <c r="HN30" s="99"/>
      <c r="HO30" s="99"/>
      <c r="HP30" s="99"/>
      <c r="HQ30" s="99"/>
      <c r="HR30" s="99"/>
      <c r="HS30" s="99"/>
      <c r="HT30" s="99"/>
      <c r="HU30" s="99"/>
      <c r="HV30" s="99"/>
      <c r="HW30" s="99"/>
      <c r="HX30" s="99"/>
      <c r="HY30" s="99"/>
      <c r="HZ30" s="99"/>
      <c r="IA30" s="99"/>
      <c r="IB30" s="99"/>
      <c r="IC30" s="99"/>
      <c r="ID30" s="99"/>
      <c r="IE30" s="99"/>
      <c r="IF30" s="99"/>
      <c r="IG30" s="99"/>
      <c r="IH30" s="99"/>
      <c r="II30" s="99"/>
      <c r="IJ30" s="99"/>
      <c r="IT30" s="112"/>
    </row>
    <row r="31" spans="1:254" ht="47.25">
      <c r="B31" s="185" t="s">
        <v>162</v>
      </c>
      <c r="C31" s="292" t="s">
        <v>373</v>
      </c>
      <c r="D31" s="155" t="s">
        <v>141</v>
      </c>
      <c r="E31" s="159">
        <v>2E-3</v>
      </c>
      <c r="F31" s="161"/>
      <c r="G31" s="159" t="s">
        <v>264</v>
      </c>
      <c r="H31" s="159">
        <v>2E-3</v>
      </c>
      <c r="I31" s="159" t="s">
        <v>264</v>
      </c>
      <c r="J31" s="159">
        <v>2E-3</v>
      </c>
      <c r="K31" s="159"/>
      <c r="L31" s="159"/>
      <c r="M31" s="159"/>
      <c r="N31" s="159"/>
      <c r="O31" s="144">
        <f>12/1000</f>
        <v>1.2E-2</v>
      </c>
      <c r="P31" s="144"/>
      <c r="Q31" s="144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99"/>
      <c r="DE31" s="99"/>
      <c r="DF31" s="99"/>
      <c r="DG31" s="99"/>
      <c r="DH31" s="99"/>
      <c r="DI31" s="99"/>
      <c r="DJ31" s="99"/>
      <c r="DK31" s="99"/>
      <c r="DL31" s="99"/>
      <c r="DM31" s="99"/>
      <c r="DN31" s="99"/>
      <c r="DO31" s="99"/>
      <c r="DP31" s="99"/>
      <c r="DQ31" s="99"/>
      <c r="DR31" s="99"/>
      <c r="DS31" s="99"/>
      <c r="DT31" s="99"/>
      <c r="DU31" s="99"/>
      <c r="DV31" s="99"/>
      <c r="DW31" s="99"/>
      <c r="DX31" s="99"/>
      <c r="DY31" s="99"/>
      <c r="DZ31" s="99"/>
      <c r="EA31" s="99"/>
      <c r="EB31" s="99"/>
      <c r="EC31" s="99"/>
      <c r="ED31" s="99"/>
      <c r="EE31" s="99"/>
      <c r="EF31" s="99"/>
      <c r="EG31" s="99"/>
      <c r="EH31" s="99"/>
      <c r="EI31" s="99"/>
      <c r="EJ31" s="99"/>
      <c r="EK31" s="99"/>
      <c r="EL31" s="99"/>
      <c r="EM31" s="99"/>
      <c r="EN31" s="99"/>
      <c r="EO31" s="99"/>
      <c r="EP31" s="99"/>
      <c r="EQ31" s="99"/>
      <c r="ER31" s="99"/>
      <c r="ES31" s="99"/>
      <c r="ET31" s="99"/>
      <c r="EU31" s="99"/>
      <c r="EV31" s="99"/>
      <c r="EW31" s="99"/>
      <c r="EX31" s="99"/>
      <c r="EY31" s="99"/>
      <c r="EZ31" s="99"/>
      <c r="FA31" s="99"/>
      <c r="FB31" s="99"/>
      <c r="FC31" s="99"/>
      <c r="FD31" s="99"/>
      <c r="FE31" s="99"/>
      <c r="FF31" s="99"/>
      <c r="FG31" s="99"/>
      <c r="FH31" s="99"/>
      <c r="FI31" s="99"/>
      <c r="FJ31" s="99"/>
      <c r="FK31" s="99"/>
      <c r="FL31" s="99"/>
      <c r="FM31" s="99"/>
      <c r="FN31" s="99"/>
      <c r="FO31" s="99"/>
      <c r="FP31" s="99"/>
      <c r="FQ31" s="99"/>
      <c r="FR31" s="99"/>
      <c r="FS31" s="99"/>
      <c r="FT31" s="99"/>
      <c r="FU31" s="99"/>
      <c r="FV31" s="99"/>
      <c r="FW31" s="99"/>
      <c r="FX31" s="99"/>
      <c r="FY31" s="99"/>
      <c r="FZ31" s="99"/>
      <c r="GA31" s="99"/>
      <c r="GB31" s="99"/>
      <c r="GC31" s="99"/>
      <c r="GD31" s="99"/>
      <c r="GE31" s="99"/>
      <c r="GF31" s="99"/>
      <c r="GG31" s="99"/>
      <c r="GH31" s="99"/>
      <c r="GI31" s="99"/>
      <c r="GJ31" s="99"/>
      <c r="GK31" s="99"/>
      <c r="GL31" s="99"/>
      <c r="GM31" s="99"/>
      <c r="GN31" s="99"/>
      <c r="GO31" s="99"/>
      <c r="GP31" s="99"/>
      <c r="GQ31" s="99"/>
      <c r="GR31" s="99"/>
      <c r="GS31" s="99"/>
      <c r="GT31" s="99"/>
      <c r="GU31" s="99"/>
      <c r="GV31" s="99"/>
      <c r="GW31" s="99"/>
      <c r="GX31" s="99"/>
      <c r="GY31" s="99"/>
      <c r="GZ31" s="99"/>
      <c r="HA31" s="99"/>
      <c r="HB31" s="99"/>
      <c r="HC31" s="99"/>
      <c r="HD31" s="99"/>
      <c r="HE31" s="99"/>
      <c r="HF31" s="99"/>
      <c r="HG31" s="99"/>
      <c r="HH31" s="99"/>
      <c r="HI31" s="99"/>
      <c r="HJ31" s="99"/>
      <c r="HK31" s="99"/>
      <c r="HL31" s="99"/>
      <c r="HM31" s="99"/>
      <c r="HN31" s="99"/>
      <c r="HO31" s="99"/>
      <c r="HP31" s="99"/>
      <c r="HQ31" s="99"/>
      <c r="HR31" s="99"/>
      <c r="HS31" s="99"/>
      <c r="HT31" s="99"/>
      <c r="HU31" s="99"/>
      <c r="HV31" s="99"/>
      <c r="HW31" s="99"/>
      <c r="HX31" s="99"/>
      <c r="HY31" s="99"/>
      <c r="HZ31" s="99"/>
      <c r="IA31" s="99"/>
      <c r="IB31" s="99"/>
      <c r="IC31" s="99"/>
      <c r="ID31" s="99"/>
      <c r="IE31" s="99"/>
      <c r="IF31" s="99"/>
      <c r="IG31" s="99"/>
      <c r="IH31" s="99"/>
      <c r="II31" s="99"/>
      <c r="IJ31" s="99"/>
      <c r="IT31" s="112"/>
    </row>
    <row r="32" spans="1:254">
      <c r="B32" s="207" t="s">
        <v>163</v>
      </c>
      <c r="C32" s="294" t="s">
        <v>237</v>
      </c>
      <c r="D32" s="137" t="s">
        <v>165</v>
      </c>
      <c r="E32" s="138" t="s">
        <v>238</v>
      </c>
      <c r="F32" s="158"/>
      <c r="G32" s="277" t="s">
        <v>557</v>
      </c>
      <c r="H32" s="138" t="s">
        <v>238</v>
      </c>
      <c r="I32" s="277" t="s">
        <v>557</v>
      </c>
      <c r="J32" s="138" t="s">
        <v>238</v>
      </c>
      <c r="K32" s="277"/>
      <c r="L32" s="138"/>
      <c r="M32" s="277"/>
      <c r="N32" s="138"/>
      <c r="O32" s="144">
        <f>19.27*4/1000</f>
        <v>7.7079999999999996E-2</v>
      </c>
      <c r="P32" s="144"/>
      <c r="Q32" s="144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  <c r="DQ32" s="99"/>
      <c r="DR32" s="99"/>
      <c r="DS32" s="99"/>
      <c r="DT32" s="99"/>
      <c r="DU32" s="99"/>
      <c r="DV32" s="99"/>
      <c r="DW32" s="99"/>
      <c r="DX32" s="99"/>
      <c r="DY32" s="99"/>
      <c r="DZ32" s="99"/>
      <c r="EA32" s="99"/>
      <c r="EB32" s="99"/>
      <c r="EC32" s="99"/>
      <c r="ED32" s="99"/>
      <c r="EE32" s="99"/>
      <c r="EF32" s="99"/>
      <c r="EG32" s="99"/>
      <c r="EH32" s="99"/>
      <c r="EI32" s="99"/>
      <c r="EJ32" s="99"/>
      <c r="EK32" s="99"/>
      <c r="EL32" s="99"/>
      <c r="EM32" s="99"/>
      <c r="EN32" s="99"/>
      <c r="EO32" s="99"/>
      <c r="EP32" s="99"/>
      <c r="EQ32" s="99"/>
      <c r="ER32" s="99"/>
      <c r="ES32" s="99"/>
      <c r="ET32" s="99"/>
      <c r="EU32" s="99"/>
      <c r="EV32" s="99"/>
      <c r="EW32" s="99"/>
      <c r="EX32" s="99"/>
      <c r="EY32" s="99"/>
      <c r="EZ32" s="99"/>
      <c r="FA32" s="99"/>
      <c r="FB32" s="99"/>
      <c r="FC32" s="99"/>
      <c r="FD32" s="99"/>
      <c r="FE32" s="99"/>
      <c r="FF32" s="99"/>
      <c r="FG32" s="99"/>
      <c r="FH32" s="99"/>
      <c r="FI32" s="99"/>
      <c r="FJ32" s="99"/>
      <c r="FK32" s="99"/>
      <c r="FL32" s="99"/>
      <c r="FM32" s="99"/>
      <c r="FN32" s="99"/>
      <c r="FO32" s="99"/>
      <c r="FP32" s="99"/>
      <c r="FQ32" s="99"/>
      <c r="FR32" s="99"/>
      <c r="FS32" s="99"/>
      <c r="FT32" s="99"/>
      <c r="FU32" s="99"/>
      <c r="FV32" s="99"/>
      <c r="FW32" s="99"/>
      <c r="FX32" s="99"/>
      <c r="FY32" s="99"/>
      <c r="FZ32" s="99"/>
      <c r="GA32" s="99"/>
      <c r="GB32" s="99"/>
      <c r="GC32" s="99"/>
      <c r="GD32" s="99"/>
      <c r="GE32" s="99"/>
      <c r="GF32" s="99"/>
      <c r="GG32" s="99"/>
      <c r="GH32" s="99"/>
      <c r="GI32" s="99"/>
      <c r="GJ32" s="99"/>
      <c r="GK32" s="99"/>
      <c r="GL32" s="99"/>
      <c r="GM32" s="99"/>
      <c r="GN32" s="99"/>
      <c r="GO32" s="99"/>
      <c r="GP32" s="99"/>
      <c r="GQ32" s="99"/>
      <c r="GR32" s="99"/>
      <c r="GS32" s="99"/>
      <c r="GT32" s="99"/>
      <c r="GU32" s="99"/>
      <c r="GV32" s="99"/>
      <c r="GW32" s="99"/>
      <c r="GX32" s="99"/>
      <c r="GY32" s="99"/>
      <c r="GZ32" s="99"/>
      <c r="HA32" s="99"/>
      <c r="HB32" s="99"/>
      <c r="HC32" s="99"/>
      <c r="HD32" s="99"/>
      <c r="HE32" s="99"/>
      <c r="HF32" s="99"/>
      <c r="HG32" s="99"/>
      <c r="HH32" s="99"/>
      <c r="HI32" s="99"/>
      <c r="HJ32" s="99"/>
      <c r="HK32" s="99"/>
      <c r="HL32" s="99"/>
      <c r="HM32" s="99"/>
      <c r="HN32" s="99"/>
      <c r="HO32" s="99"/>
      <c r="HP32" s="99"/>
      <c r="HQ32" s="99"/>
      <c r="HR32" s="99"/>
      <c r="HS32" s="99"/>
      <c r="HT32" s="99"/>
      <c r="HU32" s="99"/>
      <c r="HV32" s="99"/>
      <c r="HW32" s="99"/>
      <c r="HX32" s="99"/>
      <c r="HY32" s="99"/>
      <c r="HZ32" s="99"/>
      <c r="IA32" s="99"/>
      <c r="IB32" s="99"/>
      <c r="IC32" s="99"/>
      <c r="ID32" s="99"/>
      <c r="IE32" s="99"/>
      <c r="IF32" s="99"/>
      <c r="IG32" s="99"/>
      <c r="IH32" s="99"/>
      <c r="II32" s="99"/>
      <c r="IJ32" s="99"/>
      <c r="IT32" s="112"/>
    </row>
    <row r="33" spans="1:254" ht="34.5">
      <c r="B33" s="207" t="s">
        <v>164</v>
      </c>
      <c r="C33" s="288" t="s">
        <v>242</v>
      </c>
      <c r="D33" s="137" t="s">
        <v>560</v>
      </c>
      <c r="E33" s="138">
        <v>0.06</v>
      </c>
      <c r="F33" s="137"/>
      <c r="G33" s="191" t="s">
        <v>264</v>
      </c>
      <c r="H33" s="138">
        <v>0.06</v>
      </c>
      <c r="I33" s="191" t="s">
        <v>264</v>
      </c>
      <c r="J33" s="138">
        <v>0.06</v>
      </c>
      <c r="K33" s="191"/>
      <c r="L33" s="138"/>
      <c r="M33" s="191"/>
      <c r="N33" s="138"/>
      <c r="O33" s="144">
        <f>0.9*0.9</f>
        <v>0.81</v>
      </c>
      <c r="P33" s="144"/>
      <c r="Q33" s="144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99"/>
      <c r="DA33" s="99"/>
      <c r="DB33" s="99"/>
      <c r="DC33" s="99"/>
      <c r="DD33" s="99"/>
      <c r="DE33" s="99"/>
      <c r="DF33" s="99"/>
      <c r="DG33" s="99"/>
      <c r="DH33" s="99"/>
      <c r="DI33" s="99"/>
      <c r="DJ33" s="99"/>
      <c r="DK33" s="99"/>
      <c r="DL33" s="99"/>
      <c r="DM33" s="99"/>
      <c r="DN33" s="99"/>
      <c r="DO33" s="99"/>
      <c r="DP33" s="99"/>
      <c r="DQ33" s="99"/>
      <c r="DR33" s="99"/>
      <c r="DS33" s="99"/>
      <c r="DT33" s="99"/>
      <c r="DU33" s="99"/>
      <c r="DV33" s="99"/>
      <c r="DW33" s="99"/>
      <c r="DX33" s="99"/>
      <c r="DY33" s="99"/>
      <c r="DZ33" s="99"/>
      <c r="EA33" s="99"/>
      <c r="EB33" s="99"/>
      <c r="EC33" s="99"/>
      <c r="ED33" s="99"/>
      <c r="EE33" s="99"/>
      <c r="EF33" s="99"/>
      <c r="EG33" s="99"/>
      <c r="EH33" s="99"/>
      <c r="EI33" s="99"/>
      <c r="EJ33" s="99"/>
      <c r="EK33" s="99"/>
      <c r="EL33" s="99"/>
      <c r="EM33" s="99"/>
      <c r="EN33" s="99"/>
      <c r="EO33" s="99"/>
      <c r="EP33" s="99"/>
      <c r="EQ33" s="99"/>
      <c r="ER33" s="99"/>
      <c r="ES33" s="99"/>
      <c r="ET33" s="99"/>
      <c r="EU33" s="99"/>
      <c r="EV33" s="99"/>
      <c r="EW33" s="99"/>
      <c r="EX33" s="99"/>
      <c r="EY33" s="99"/>
      <c r="EZ33" s="99"/>
      <c r="FA33" s="99"/>
      <c r="FB33" s="99"/>
      <c r="FC33" s="99"/>
      <c r="FD33" s="99"/>
      <c r="FE33" s="99"/>
      <c r="FF33" s="99"/>
      <c r="FG33" s="99"/>
      <c r="FH33" s="99"/>
      <c r="FI33" s="99"/>
      <c r="FJ33" s="99"/>
      <c r="FK33" s="99"/>
      <c r="FL33" s="99"/>
      <c r="FM33" s="99"/>
      <c r="FN33" s="99"/>
      <c r="FO33" s="99"/>
      <c r="FP33" s="99"/>
      <c r="FQ33" s="99"/>
      <c r="FR33" s="99"/>
      <c r="FS33" s="99"/>
      <c r="FT33" s="99"/>
      <c r="FU33" s="99"/>
      <c r="FV33" s="99"/>
      <c r="FW33" s="99"/>
      <c r="FX33" s="99"/>
      <c r="FY33" s="99"/>
      <c r="FZ33" s="99"/>
      <c r="GA33" s="99"/>
      <c r="GB33" s="99"/>
      <c r="GC33" s="99"/>
      <c r="GD33" s="99"/>
      <c r="GE33" s="99"/>
      <c r="GF33" s="99"/>
      <c r="GG33" s="99"/>
      <c r="GH33" s="99"/>
      <c r="GI33" s="99"/>
      <c r="GJ33" s="99"/>
      <c r="GK33" s="99"/>
      <c r="GL33" s="99"/>
      <c r="GM33" s="99"/>
      <c r="GN33" s="99"/>
      <c r="GO33" s="99"/>
      <c r="GP33" s="99"/>
      <c r="GQ33" s="99"/>
      <c r="GR33" s="99"/>
      <c r="GS33" s="99"/>
      <c r="GT33" s="99"/>
      <c r="GU33" s="99"/>
      <c r="GV33" s="99"/>
      <c r="GW33" s="99"/>
      <c r="GX33" s="99"/>
      <c r="GY33" s="99"/>
      <c r="GZ33" s="99"/>
      <c r="HA33" s="99"/>
      <c r="HB33" s="99"/>
      <c r="HC33" s="99"/>
      <c r="HD33" s="99"/>
      <c r="HE33" s="99"/>
      <c r="HF33" s="99"/>
      <c r="HG33" s="99"/>
      <c r="HH33" s="99"/>
      <c r="HI33" s="99"/>
      <c r="HJ33" s="99"/>
      <c r="HK33" s="99"/>
      <c r="HL33" s="99"/>
      <c r="HM33" s="99"/>
      <c r="HN33" s="99"/>
      <c r="HO33" s="99"/>
      <c r="HP33" s="99"/>
      <c r="HQ33" s="99"/>
      <c r="HR33" s="99"/>
      <c r="HS33" s="99"/>
      <c r="HT33" s="99"/>
      <c r="HU33" s="99"/>
      <c r="HV33" s="99"/>
      <c r="HW33" s="99"/>
      <c r="HX33" s="99"/>
      <c r="HY33" s="99"/>
      <c r="HZ33" s="99"/>
      <c r="IA33" s="99"/>
      <c r="IB33" s="99"/>
      <c r="IC33" s="99"/>
      <c r="ID33" s="99"/>
      <c r="IE33" s="99"/>
      <c r="IF33" s="99"/>
      <c r="IG33" s="99"/>
      <c r="IH33" s="99"/>
      <c r="II33" s="99"/>
      <c r="IJ33" s="99"/>
      <c r="IT33" s="112"/>
    </row>
    <row r="34" spans="1:254" ht="47.25">
      <c r="B34" s="186" t="s">
        <v>194</v>
      </c>
      <c r="C34" s="295" t="s">
        <v>236</v>
      </c>
      <c r="D34" s="136" t="s">
        <v>563</v>
      </c>
      <c r="E34" s="159">
        <v>10.08</v>
      </c>
      <c r="F34" s="160"/>
      <c r="G34" s="266" t="s">
        <v>264</v>
      </c>
      <c r="H34" s="159">
        <v>10.08</v>
      </c>
      <c r="I34" s="266" t="s">
        <v>264</v>
      </c>
      <c r="J34" s="159">
        <v>10.08</v>
      </c>
      <c r="K34" s="266"/>
      <c r="L34" s="159"/>
      <c r="M34" s="266"/>
      <c r="N34" s="159"/>
      <c r="O34" s="144">
        <f>1.2*(1.5*4)+1.5*1.5</f>
        <v>9.4499999999999993</v>
      </c>
      <c r="P34" s="144">
        <f>1.2*(1.6*4)+1.6*1.5</f>
        <v>10.08</v>
      </c>
      <c r="Q34" s="144">
        <f>P34-O34</f>
        <v>0.63000000000000078</v>
      </c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99"/>
      <c r="DA34" s="99"/>
      <c r="DB34" s="99"/>
      <c r="DC34" s="99"/>
      <c r="DD34" s="99"/>
      <c r="DE34" s="99"/>
      <c r="DF34" s="99"/>
      <c r="DG34" s="99"/>
      <c r="DH34" s="99"/>
      <c r="DI34" s="99"/>
      <c r="DJ34" s="99"/>
      <c r="DK34" s="99"/>
      <c r="DL34" s="99"/>
      <c r="DM34" s="99"/>
      <c r="DN34" s="99"/>
      <c r="DO34" s="99"/>
      <c r="DP34" s="99"/>
      <c r="DQ34" s="99"/>
      <c r="DR34" s="99"/>
      <c r="DS34" s="99"/>
      <c r="DT34" s="99"/>
      <c r="DU34" s="99"/>
      <c r="DV34" s="99"/>
      <c r="DW34" s="99"/>
      <c r="DX34" s="99"/>
      <c r="DY34" s="99"/>
      <c r="DZ34" s="99"/>
      <c r="EA34" s="99"/>
      <c r="EB34" s="99"/>
      <c r="EC34" s="99"/>
      <c r="ED34" s="99"/>
      <c r="EE34" s="99"/>
      <c r="EF34" s="99"/>
      <c r="EG34" s="99"/>
      <c r="EH34" s="99"/>
      <c r="EI34" s="99"/>
      <c r="EJ34" s="99"/>
      <c r="EK34" s="99"/>
      <c r="EL34" s="99"/>
      <c r="EM34" s="99"/>
      <c r="EN34" s="99"/>
      <c r="EO34" s="99"/>
      <c r="EP34" s="99"/>
      <c r="EQ34" s="99"/>
      <c r="ER34" s="99"/>
      <c r="ES34" s="99"/>
      <c r="ET34" s="99"/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99"/>
      <c r="FI34" s="99"/>
      <c r="FJ34" s="99"/>
      <c r="FK34" s="99"/>
      <c r="FL34" s="99"/>
      <c r="FM34" s="99"/>
      <c r="FN34" s="99"/>
      <c r="FO34" s="99"/>
      <c r="FP34" s="99"/>
      <c r="FQ34" s="99"/>
      <c r="FR34" s="99"/>
      <c r="FS34" s="99"/>
      <c r="FT34" s="99"/>
      <c r="FU34" s="99"/>
      <c r="FV34" s="99"/>
      <c r="FW34" s="99"/>
      <c r="FX34" s="99"/>
      <c r="FY34" s="99"/>
      <c r="FZ34" s="99"/>
      <c r="GA34" s="99"/>
      <c r="GB34" s="99"/>
      <c r="GC34" s="99"/>
      <c r="GD34" s="99"/>
      <c r="GE34" s="99"/>
      <c r="GF34" s="99"/>
      <c r="GG34" s="99"/>
      <c r="GH34" s="99"/>
      <c r="GI34" s="99"/>
      <c r="GJ34" s="99"/>
      <c r="GK34" s="99"/>
      <c r="GL34" s="99"/>
      <c r="GM34" s="99"/>
      <c r="GN34" s="99"/>
      <c r="GO34" s="99"/>
      <c r="GP34" s="99"/>
      <c r="GQ34" s="99"/>
      <c r="GR34" s="99"/>
      <c r="GS34" s="99"/>
      <c r="GT34" s="99"/>
      <c r="GU34" s="99"/>
      <c r="GV34" s="99"/>
      <c r="GW34" s="99"/>
      <c r="GX34" s="99"/>
      <c r="GY34" s="99"/>
      <c r="GZ34" s="99"/>
      <c r="HA34" s="99"/>
      <c r="HB34" s="99"/>
      <c r="HC34" s="99"/>
      <c r="HD34" s="99"/>
      <c r="HE34" s="99"/>
      <c r="HF34" s="99"/>
      <c r="HG34" s="99"/>
      <c r="HH34" s="99"/>
      <c r="HI34" s="99"/>
      <c r="HJ34" s="99"/>
      <c r="HK34" s="99"/>
      <c r="HL34" s="99"/>
      <c r="HM34" s="99"/>
      <c r="HN34" s="99"/>
      <c r="HO34" s="99"/>
      <c r="HP34" s="99"/>
      <c r="HQ34" s="99"/>
      <c r="HR34" s="99"/>
      <c r="HS34" s="99"/>
      <c r="HT34" s="99"/>
      <c r="HU34" s="99"/>
      <c r="HV34" s="99"/>
      <c r="HW34" s="99"/>
      <c r="HX34" s="99"/>
      <c r="HY34" s="99"/>
      <c r="HZ34" s="99"/>
      <c r="IA34" s="99"/>
      <c r="IB34" s="99"/>
      <c r="IC34" s="99"/>
      <c r="ID34" s="99"/>
      <c r="IE34" s="99"/>
      <c r="IF34" s="99"/>
      <c r="IG34" s="99"/>
      <c r="IH34" s="99"/>
      <c r="II34" s="99"/>
      <c r="IJ34" s="99"/>
    </row>
    <row r="35" spans="1:254" ht="16.5" thickBot="1">
      <c r="B35" s="213" t="s">
        <v>195</v>
      </c>
      <c r="C35" s="296" t="s">
        <v>314</v>
      </c>
      <c r="D35" s="155" t="s">
        <v>141</v>
      </c>
      <c r="E35" s="276">
        <v>0.01</v>
      </c>
      <c r="F35" s="155"/>
      <c r="G35" s="269" t="s">
        <v>264</v>
      </c>
      <c r="H35" s="276">
        <v>0.01</v>
      </c>
      <c r="I35" s="269" t="s">
        <v>264</v>
      </c>
      <c r="J35" s="276">
        <v>0.01</v>
      </c>
      <c r="K35" s="269"/>
      <c r="L35" s="276"/>
      <c r="M35" s="269"/>
      <c r="N35" s="276"/>
      <c r="O35" s="144">
        <f>(0.62*4+1.9*4)/1000</f>
        <v>1.008E-2</v>
      </c>
      <c r="P35" s="144"/>
      <c r="Q35" s="144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99"/>
      <c r="CL35" s="99"/>
      <c r="CM35" s="99"/>
      <c r="CN35" s="99"/>
      <c r="CO35" s="99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99"/>
      <c r="DA35" s="99"/>
      <c r="DB35" s="99"/>
      <c r="DC35" s="99"/>
      <c r="DD35" s="99"/>
      <c r="DE35" s="99"/>
      <c r="DF35" s="99"/>
      <c r="DG35" s="99"/>
      <c r="DH35" s="99"/>
      <c r="DI35" s="99"/>
      <c r="DJ35" s="99"/>
      <c r="DK35" s="99"/>
      <c r="DL35" s="99"/>
      <c r="DM35" s="99"/>
      <c r="DN35" s="99"/>
      <c r="DO35" s="99"/>
      <c r="DP35" s="99"/>
      <c r="DQ35" s="99"/>
      <c r="DR35" s="99"/>
      <c r="DS35" s="99"/>
      <c r="DT35" s="99"/>
      <c r="DU35" s="99"/>
      <c r="DV35" s="99"/>
      <c r="DW35" s="99"/>
      <c r="DX35" s="99"/>
      <c r="DY35" s="99"/>
      <c r="DZ35" s="99"/>
      <c r="EA35" s="99"/>
      <c r="EB35" s="99"/>
      <c r="EC35" s="99"/>
      <c r="ED35" s="99"/>
      <c r="EE35" s="99"/>
      <c r="EF35" s="99"/>
      <c r="EG35" s="99"/>
      <c r="EH35" s="99"/>
      <c r="EI35" s="99"/>
      <c r="EJ35" s="99"/>
      <c r="EK35" s="99"/>
      <c r="EL35" s="99"/>
      <c r="EM35" s="99"/>
      <c r="EN35" s="99"/>
      <c r="EO35" s="99"/>
      <c r="EP35" s="99"/>
      <c r="EQ35" s="99"/>
      <c r="ER35" s="99"/>
      <c r="ES35" s="99"/>
      <c r="ET35" s="99"/>
      <c r="EU35" s="99"/>
      <c r="EV35" s="99"/>
      <c r="EW35" s="99"/>
      <c r="EX35" s="99"/>
      <c r="EY35" s="99"/>
      <c r="EZ35" s="99"/>
      <c r="FA35" s="99"/>
      <c r="FB35" s="99"/>
      <c r="FC35" s="99"/>
      <c r="FD35" s="99"/>
      <c r="FE35" s="99"/>
      <c r="FF35" s="99"/>
      <c r="FG35" s="99"/>
      <c r="FH35" s="99"/>
      <c r="FI35" s="99"/>
      <c r="FJ35" s="99"/>
      <c r="FK35" s="99"/>
      <c r="FL35" s="99"/>
      <c r="FM35" s="99"/>
      <c r="FN35" s="99"/>
      <c r="FO35" s="99"/>
      <c r="FP35" s="99"/>
      <c r="FQ35" s="99"/>
      <c r="FR35" s="99"/>
      <c r="FS35" s="99"/>
      <c r="FT35" s="99"/>
      <c r="FU35" s="99"/>
      <c r="FV35" s="99"/>
      <c r="FW35" s="99"/>
      <c r="FX35" s="99"/>
      <c r="FY35" s="99"/>
      <c r="FZ35" s="99"/>
      <c r="GA35" s="99"/>
      <c r="GB35" s="99"/>
      <c r="GC35" s="99"/>
      <c r="GD35" s="99"/>
      <c r="GE35" s="99"/>
      <c r="GF35" s="99"/>
      <c r="GG35" s="99"/>
      <c r="GH35" s="99"/>
      <c r="GI35" s="99"/>
      <c r="GJ35" s="99"/>
      <c r="GK35" s="99"/>
      <c r="GL35" s="99"/>
      <c r="GM35" s="99"/>
      <c r="GN35" s="99"/>
      <c r="GO35" s="99"/>
      <c r="GP35" s="99"/>
      <c r="GQ35" s="99"/>
      <c r="GR35" s="99"/>
      <c r="GS35" s="99"/>
      <c r="GT35" s="99"/>
      <c r="GU35" s="99"/>
      <c r="GV35" s="99"/>
      <c r="GW35" s="99"/>
      <c r="GX35" s="99"/>
      <c r="GY35" s="99"/>
      <c r="GZ35" s="99"/>
      <c r="HA35" s="99"/>
      <c r="HB35" s="99"/>
      <c r="HC35" s="99"/>
      <c r="HD35" s="99"/>
      <c r="HE35" s="99"/>
      <c r="HF35" s="99"/>
      <c r="HG35" s="99"/>
      <c r="HH35" s="99"/>
      <c r="HI35" s="99"/>
      <c r="HJ35" s="99"/>
      <c r="HK35" s="99"/>
      <c r="HL35" s="99"/>
      <c r="HM35" s="99"/>
      <c r="HN35" s="99"/>
      <c r="HO35" s="99"/>
      <c r="HP35" s="99"/>
      <c r="HQ35" s="99"/>
      <c r="HR35" s="99"/>
      <c r="HS35" s="99"/>
      <c r="HT35" s="99"/>
      <c r="HU35" s="99"/>
      <c r="HV35" s="99"/>
      <c r="HW35" s="99"/>
      <c r="HX35" s="99"/>
      <c r="HY35" s="99"/>
      <c r="HZ35" s="99"/>
      <c r="IA35" s="99"/>
      <c r="IB35" s="99"/>
      <c r="IC35" s="99"/>
      <c r="ID35" s="99"/>
      <c r="IE35" s="99"/>
      <c r="IF35" s="99"/>
      <c r="IG35" s="99"/>
      <c r="IH35" s="99"/>
      <c r="II35" s="99"/>
      <c r="IJ35" s="99"/>
      <c r="IT35" s="112"/>
    </row>
    <row r="36" spans="1:254" ht="32.25" thickBot="1">
      <c r="B36" s="218"/>
      <c r="C36" s="297" t="s">
        <v>239</v>
      </c>
      <c r="D36" s="199"/>
      <c r="E36" s="240"/>
      <c r="F36" s="199"/>
      <c r="G36" s="240"/>
      <c r="H36" s="240"/>
      <c r="I36" s="240"/>
      <c r="J36" s="240"/>
      <c r="K36" s="240"/>
      <c r="L36" s="240"/>
      <c r="M36" s="240"/>
      <c r="N36" s="240"/>
      <c r="O36" s="128"/>
      <c r="P36" s="128"/>
      <c r="Q36" s="125"/>
      <c r="R36" s="125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 s="99"/>
      <c r="GL36" s="99"/>
      <c r="GM36" s="99"/>
      <c r="GN36" s="99"/>
      <c r="GO36" s="99"/>
      <c r="GP36" s="99"/>
      <c r="GQ36" s="99"/>
      <c r="GR36" s="99"/>
      <c r="GS36" s="99"/>
      <c r="GT36" s="99"/>
      <c r="GU36" s="99"/>
      <c r="GV36" s="99"/>
      <c r="GW36" s="99"/>
      <c r="GX36" s="99"/>
      <c r="GY36" s="99"/>
      <c r="GZ36" s="99"/>
      <c r="HA36" s="99"/>
      <c r="HB36" s="99"/>
      <c r="HC36" s="99"/>
      <c r="HD36" s="99"/>
      <c r="HE36" s="99"/>
      <c r="HF36" s="99"/>
      <c r="HG36" s="99"/>
      <c r="HH36" s="99"/>
      <c r="HI36" s="99"/>
      <c r="HJ36" s="99"/>
      <c r="HK36" s="99"/>
      <c r="HL36" s="99"/>
      <c r="HM36" s="99"/>
      <c r="HN36" s="99"/>
      <c r="HO36" s="99"/>
      <c r="HP36" s="99"/>
      <c r="HQ36" s="99"/>
      <c r="HR36" s="99"/>
      <c r="HS36" s="99"/>
      <c r="HT36" s="99"/>
      <c r="HU36" s="99"/>
      <c r="HV36" s="99"/>
      <c r="HW36" s="99"/>
      <c r="HX36" s="99"/>
      <c r="HY36" s="99"/>
      <c r="HZ36" s="99"/>
      <c r="IA36" s="99"/>
      <c r="IB36" s="99"/>
      <c r="IC36" s="99"/>
      <c r="ID36" s="99"/>
      <c r="IE36" s="99"/>
      <c r="IF36" s="99"/>
      <c r="IG36" s="99"/>
      <c r="IH36" s="99"/>
      <c r="II36" s="99"/>
      <c r="IJ36" s="99"/>
      <c r="IT36" s="112"/>
    </row>
    <row r="37" spans="1:254" ht="18.75">
      <c r="B37" s="186" t="s">
        <v>132</v>
      </c>
      <c r="C37" s="292" t="s">
        <v>234</v>
      </c>
      <c r="D37" s="155" t="s">
        <v>560</v>
      </c>
      <c r="E37" s="273">
        <v>0.32</v>
      </c>
      <c r="F37" s="156"/>
      <c r="G37" s="269" t="s">
        <v>264</v>
      </c>
      <c r="H37" s="273">
        <v>0.32</v>
      </c>
      <c r="I37" s="269" t="s">
        <v>264</v>
      </c>
      <c r="J37" s="273">
        <v>0.32</v>
      </c>
      <c r="K37" s="269"/>
      <c r="L37" s="273"/>
      <c r="M37" s="269"/>
      <c r="N37" s="273"/>
      <c r="O37" s="144">
        <f>0.1*1.7*1.7</f>
        <v>0.28900000000000003</v>
      </c>
      <c r="P37" s="144">
        <v>0.32</v>
      </c>
      <c r="Q37" s="144">
        <f>P37-H37</f>
        <v>0</v>
      </c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99"/>
      <c r="CL37" s="99"/>
      <c r="CM37" s="99"/>
      <c r="CN37" s="99"/>
      <c r="CO37" s="99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99"/>
      <c r="DA37" s="99"/>
      <c r="DB37" s="99"/>
      <c r="DC37" s="99"/>
      <c r="DD37" s="99"/>
      <c r="DE37" s="99"/>
      <c r="DF37" s="99"/>
      <c r="DG37" s="99"/>
      <c r="DH37" s="99"/>
      <c r="DI37" s="99"/>
      <c r="DJ37" s="99"/>
      <c r="DK37" s="99"/>
      <c r="DL37" s="99"/>
      <c r="DM37" s="99"/>
      <c r="DN37" s="99"/>
      <c r="DO37" s="99"/>
      <c r="DP37" s="99"/>
      <c r="DQ37" s="99"/>
      <c r="DR37" s="99"/>
      <c r="DS37" s="99"/>
      <c r="DT37" s="99"/>
      <c r="DU37" s="99"/>
      <c r="DV37" s="99"/>
      <c r="DW37" s="99"/>
      <c r="DX37" s="99"/>
      <c r="DY37" s="99"/>
      <c r="DZ37" s="99"/>
      <c r="EA37" s="99"/>
      <c r="EB37" s="99"/>
      <c r="EC37" s="99"/>
      <c r="ED37" s="99"/>
      <c r="EE37" s="99"/>
      <c r="EF37" s="99"/>
      <c r="EG37" s="99"/>
      <c r="EH37" s="99"/>
      <c r="EI37" s="99"/>
      <c r="EJ37" s="99"/>
      <c r="EK37" s="99"/>
      <c r="EL37" s="99"/>
      <c r="EM37" s="99"/>
      <c r="EN37" s="99"/>
      <c r="EO37" s="99"/>
      <c r="EP37" s="99"/>
      <c r="EQ37" s="99"/>
      <c r="ER37" s="99"/>
      <c r="ES37" s="99"/>
      <c r="ET37" s="99"/>
      <c r="EU37" s="99"/>
      <c r="EV37" s="99"/>
      <c r="EW37" s="99"/>
      <c r="EX37" s="99"/>
      <c r="EY37" s="99"/>
      <c r="EZ37" s="99"/>
      <c r="FA37" s="99"/>
      <c r="FB37" s="99"/>
      <c r="FC37" s="99"/>
      <c r="FD37" s="99"/>
      <c r="FE37" s="99"/>
      <c r="FF37" s="99"/>
      <c r="FG37" s="99"/>
      <c r="FH37" s="99"/>
      <c r="FI37" s="99"/>
      <c r="FJ37" s="99"/>
      <c r="FK37" s="99"/>
      <c r="FL37" s="99"/>
      <c r="FM37" s="99"/>
      <c r="FN37" s="99"/>
      <c r="FO37" s="99"/>
      <c r="FP37" s="99"/>
      <c r="FQ37" s="99"/>
      <c r="FR37" s="99"/>
      <c r="FS37" s="99"/>
      <c r="FT37" s="99"/>
      <c r="FU37" s="99"/>
      <c r="FV37" s="99"/>
      <c r="FW37" s="99"/>
      <c r="FX37" s="99"/>
      <c r="FY37" s="99"/>
      <c r="FZ37" s="99"/>
      <c r="GA37" s="99"/>
      <c r="GB37" s="99"/>
      <c r="GC37" s="99"/>
      <c r="GD37" s="99"/>
      <c r="GE37" s="99"/>
      <c r="GF37" s="99"/>
      <c r="GG37" s="99"/>
      <c r="GH37" s="99"/>
      <c r="GI37" s="99"/>
      <c r="GJ37" s="99"/>
      <c r="GK37" s="99"/>
      <c r="GL37" s="99"/>
      <c r="GM37" s="99"/>
      <c r="GN37" s="99"/>
      <c r="GO37" s="99"/>
      <c r="GP37" s="99"/>
      <c r="GQ37" s="99"/>
      <c r="GR37" s="99"/>
      <c r="GS37" s="99"/>
      <c r="GT37" s="99"/>
      <c r="GU37" s="99"/>
      <c r="GV37" s="99"/>
      <c r="GW37" s="99"/>
      <c r="GX37" s="99"/>
      <c r="GY37" s="99"/>
      <c r="GZ37" s="99"/>
      <c r="HA37" s="99"/>
      <c r="HB37" s="99"/>
      <c r="HC37" s="99"/>
      <c r="HD37" s="99"/>
      <c r="HE37" s="99"/>
      <c r="HF37" s="99"/>
      <c r="HG37" s="99"/>
      <c r="HH37" s="99"/>
      <c r="HI37" s="99"/>
      <c r="HJ37" s="99"/>
      <c r="HK37" s="99"/>
      <c r="HL37" s="99"/>
      <c r="HM37" s="99"/>
      <c r="HN37" s="99"/>
      <c r="HO37" s="99"/>
      <c r="HP37" s="99"/>
      <c r="HQ37" s="99"/>
      <c r="HR37" s="99"/>
      <c r="HS37" s="99"/>
      <c r="HT37" s="99"/>
      <c r="HU37" s="99"/>
      <c r="HV37" s="99"/>
      <c r="HW37" s="99"/>
      <c r="HX37" s="99"/>
      <c r="HY37" s="99"/>
      <c r="HZ37" s="99"/>
      <c r="IA37" s="99"/>
      <c r="IB37" s="99"/>
      <c r="IC37" s="99"/>
      <c r="ID37" s="99"/>
      <c r="IE37" s="99"/>
      <c r="IF37" s="99"/>
      <c r="IG37" s="99"/>
      <c r="IH37" s="99"/>
      <c r="II37" s="99"/>
      <c r="IJ37" s="99"/>
    </row>
    <row r="38" spans="1:254" ht="34.5">
      <c r="B38" s="186" t="s">
        <v>133</v>
      </c>
      <c r="C38" s="285" t="s">
        <v>312</v>
      </c>
      <c r="D38" s="137" t="s">
        <v>560</v>
      </c>
      <c r="E38" s="138">
        <v>3.07</v>
      </c>
      <c r="F38" s="158"/>
      <c r="G38" s="191" t="s">
        <v>264</v>
      </c>
      <c r="H38" s="138">
        <v>3.07</v>
      </c>
      <c r="I38" s="191" t="s">
        <v>264</v>
      </c>
      <c r="J38" s="138">
        <v>3.07</v>
      </c>
      <c r="K38" s="191"/>
      <c r="L38" s="138"/>
      <c r="M38" s="191"/>
      <c r="N38" s="138"/>
      <c r="O38" s="144">
        <f>1.5*1.5*0.6</f>
        <v>1.3499999999999999</v>
      </c>
      <c r="P38" s="144">
        <v>3.07</v>
      </c>
      <c r="Q38" s="144">
        <f>P38-H38</f>
        <v>0</v>
      </c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99"/>
      <c r="CL38" s="99"/>
      <c r="CM38" s="99"/>
      <c r="CN38" s="99"/>
      <c r="CO38" s="99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99"/>
      <c r="DA38" s="99"/>
      <c r="DB38" s="99"/>
      <c r="DC38" s="99"/>
      <c r="DD38" s="99"/>
      <c r="DE38" s="99"/>
      <c r="DF38" s="99"/>
      <c r="DG38" s="99"/>
      <c r="DH38" s="99"/>
      <c r="DI38" s="99"/>
      <c r="DJ38" s="99"/>
      <c r="DK38" s="99"/>
      <c r="DL38" s="99"/>
      <c r="DM38" s="99"/>
      <c r="DN38" s="99"/>
      <c r="DO38" s="99"/>
      <c r="DP38" s="99"/>
      <c r="DQ38" s="99"/>
      <c r="DR38" s="99"/>
      <c r="DS38" s="99"/>
      <c r="DT38" s="99"/>
      <c r="DU38" s="99"/>
      <c r="DV38" s="99"/>
      <c r="DW38" s="99"/>
      <c r="DX38" s="99"/>
      <c r="DY38" s="99"/>
      <c r="DZ38" s="99"/>
      <c r="EA38" s="99"/>
      <c r="EB38" s="99"/>
      <c r="EC38" s="99"/>
      <c r="ED38" s="99"/>
      <c r="EE38" s="99"/>
      <c r="EF38" s="99"/>
      <c r="EG38" s="99"/>
      <c r="EH38" s="99"/>
      <c r="EI38" s="99"/>
      <c r="EJ38" s="99"/>
      <c r="EK38" s="99"/>
      <c r="EL38" s="99"/>
      <c r="EM38" s="99"/>
      <c r="EN38" s="99"/>
      <c r="EO38" s="99"/>
      <c r="EP38" s="99"/>
      <c r="EQ38" s="99"/>
      <c r="ER38" s="99"/>
      <c r="ES38" s="99"/>
      <c r="ET38" s="99"/>
      <c r="EU38" s="99"/>
      <c r="EV38" s="99"/>
      <c r="EW38" s="99"/>
      <c r="EX38" s="99"/>
      <c r="EY38" s="99"/>
      <c r="EZ38" s="99"/>
      <c r="FA38" s="99"/>
      <c r="FB38" s="99"/>
      <c r="FC38" s="99"/>
      <c r="FD38" s="99"/>
      <c r="FE38" s="99"/>
      <c r="FF38" s="99"/>
      <c r="FG38" s="99"/>
      <c r="FH38" s="99"/>
      <c r="FI38" s="99"/>
      <c r="FJ38" s="99"/>
      <c r="FK38" s="99"/>
      <c r="FL38" s="99"/>
      <c r="FM38" s="99"/>
      <c r="FN38" s="99"/>
      <c r="FO38" s="99"/>
      <c r="FP38" s="99"/>
      <c r="FQ38" s="99"/>
      <c r="FR38" s="99"/>
      <c r="FS38" s="99"/>
      <c r="FT38" s="99"/>
      <c r="FU38" s="99"/>
      <c r="FV38" s="99"/>
      <c r="FW38" s="99"/>
      <c r="FX38" s="99"/>
      <c r="FY38" s="99"/>
      <c r="FZ38" s="99"/>
      <c r="GA38" s="99"/>
      <c r="GB38" s="99"/>
      <c r="GC38" s="99"/>
      <c r="GD38" s="99"/>
      <c r="GE38" s="99"/>
      <c r="GF38" s="99"/>
      <c r="GG38" s="99"/>
      <c r="GH38" s="99"/>
      <c r="GI38" s="99"/>
      <c r="GJ38" s="99"/>
      <c r="GK38" s="99"/>
      <c r="GL38" s="99"/>
      <c r="GM38" s="99"/>
      <c r="GN38" s="99"/>
      <c r="GO38" s="99"/>
      <c r="GP38" s="99"/>
      <c r="GQ38" s="99"/>
      <c r="GR38" s="99"/>
      <c r="GS38" s="99"/>
      <c r="GT38" s="99"/>
      <c r="GU38" s="99"/>
      <c r="GV38" s="99"/>
      <c r="GW38" s="99"/>
      <c r="GX38" s="99"/>
      <c r="GY38" s="99"/>
      <c r="GZ38" s="99"/>
      <c r="HA38" s="99"/>
      <c r="HB38" s="99"/>
      <c r="HC38" s="99"/>
      <c r="HD38" s="99"/>
      <c r="HE38" s="99"/>
      <c r="HF38" s="99"/>
      <c r="HG38" s="99"/>
      <c r="HH38" s="99"/>
      <c r="HI38" s="99"/>
      <c r="HJ38" s="99"/>
      <c r="HK38" s="99"/>
      <c r="HL38" s="99"/>
      <c r="HM38" s="99"/>
      <c r="HN38" s="99"/>
      <c r="HO38" s="99"/>
      <c r="HP38" s="99"/>
      <c r="HQ38" s="99"/>
      <c r="HR38" s="99"/>
      <c r="HS38" s="99"/>
      <c r="HT38" s="99"/>
      <c r="HU38" s="99"/>
      <c r="HV38" s="99"/>
      <c r="HW38" s="99"/>
      <c r="HX38" s="99"/>
      <c r="HY38" s="99"/>
      <c r="HZ38" s="99"/>
      <c r="IA38" s="99"/>
      <c r="IB38" s="99"/>
      <c r="IC38" s="99"/>
      <c r="ID38" s="99"/>
      <c r="IE38" s="99"/>
      <c r="IF38" s="99"/>
      <c r="IG38" s="99"/>
      <c r="IH38" s="99"/>
      <c r="II38" s="99"/>
      <c r="IJ38" s="99"/>
      <c r="IT38" s="112" t="s">
        <v>235</v>
      </c>
    </row>
    <row r="39" spans="1:254" ht="31.5">
      <c r="B39" s="186" t="s">
        <v>134</v>
      </c>
      <c r="C39" s="293" t="s">
        <v>315</v>
      </c>
      <c r="D39" s="136" t="s">
        <v>141</v>
      </c>
      <c r="E39" s="159">
        <v>0.15</v>
      </c>
      <c r="F39" s="160"/>
      <c r="G39" s="266" t="s">
        <v>264</v>
      </c>
      <c r="H39" s="159">
        <v>0.15</v>
      </c>
      <c r="I39" s="266" t="s">
        <v>264</v>
      </c>
      <c r="J39" s="159">
        <v>0.15</v>
      </c>
      <c r="K39" s="266"/>
      <c r="L39" s="159"/>
      <c r="M39" s="266"/>
      <c r="N39" s="159"/>
      <c r="O39" s="144">
        <f>149.6/1000</f>
        <v>0.14959999999999998</v>
      </c>
      <c r="P39" s="144"/>
      <c r="Q39" s="144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99"/>
      <c r="CL39" s="99"/>
      <c r="CM39" s="99"/>
      <c r="CN39" s="99"/>
      <c r="CO39" s="99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99"/>
      <c r="DA39" s="99"/>
      <c r="DB39" s="99"/>
      <c r="DC39" s="99"/>
      <c r="DD39" s="99"/>
      <c r="DE39" s="99"/>
      <c r="DF39" s="99"/>
      <c r="DG39" s="99"/>
      <c r="DH39" s="99"/>
      <c r="DI39" s="99"/>
      <c r="DJ39" s="99"/>
      <c r="DK39" s="99"/>
      <c r="DL39" s="99"/>
      <c r="DM39" s="99"/>
      <c r="DN39" s="99"/>
      <c r="DO39" s="99"/>
      <c r="DP39" s="99"/>
      <c r="DQ39" s="99"/>
      <c r="DR39" s="99"/>
      <c r="DS39" s="99"/>
      <c r="DT39" s="99"/>
      <c r="DU39" s="99"/>
      <c r="DV39" s="99"/>
      <c r="DW39" s="99"/>
      <c r="DX39" s="99"/>
      <c r="DY39" s="99"/>
      <c r="DZ39" s="99"/>
      <c r="EA39" s="99"/>
      <c r="EB39" s="99"/>
      <c r="EC39" s="99"/>
      <c r="ED39" s="99"/>
      <c r="EE39" s="99"/>
      <c r="EF39" s="99"/>
      <c r="EG39" s="99"/>
      <c r="EH39" s="99"/>
      <c r="EI39" s="99"/>
      <c r="EJ39" s="99"/>
      <c r="EK39" s="99"/>
      <c r="EL39" s="99"/>
      <c r="EM39" s="99"/>
      <c r="EN39" s="99"/>
      <c r="EO39" s="99"/>
      <c r="EP39" s="99"/>
      <c r="EQ39" s="99"/>
      <c r="ER39" s="99"/>
      <c r="ES39" s="99"/>
      <c r="ET39" s="99"/>
      <c r="EU39" s="99"/>
      <c r="EV39" s="99"/>
      <c r="EW39" s="99"/>
      <c r="EX39" s="99"/>
      <c r="EY39" s="99"/>
      <c r="EZ39" s="99"/>
      <c r="FA39" s="99"/>
      <c r="FB39" s="99"/>
      <c r="FC39" s="99"/>
      <c r="FD39" s="99"/>
      <c r="FE39" s="99"/>
      <c r="FF39" s="99"/>
      <c r="FG39" s="99"/>
      <c r="FH39" s="99"/>
      <c r="FI39" s="99"/>
      <c r="FJ39" s="99"/>
      <c r="FK39" s="99"/>
      <c r="FL39" s="99"/>
      <c r="FM39" s="99"/>
      <c r="FN39" s="99"/>
      <c r="FO39" s="99"/>
      <c r="FP39" s="99"/>
      <c r="FQ39" s="99"/>
      <c r="FR39" s="99"/>
      <c r="FS39" s="99"/>
      <c r="FT39" s="99"/>
      <c r="FU39" s="99"/>
      <c r="FV39" s="99"/>
      <c r="FW39" s="99"/>
      <c r="FX39" s="99"/>
      <c r="FY39" s="99"/>
      <c r="FZ39" s="99"/>
      <c r="GA39" s="99"/>
      <c r="GB39" s="99"/>
      <c r="GC39" s="99"/>
      <c r="GD39" s="99"/>
      <c r="GE39" s="99"/>
      <c r="GF39" s="99"/>
      <c r="GG39" s="99"/>
      <c r="GH39" s="99"/>
      <c r="GI39" s="99"/>
      <c r="GJ39" s="99"/>
      <c r="GK39" s="99"/>
      <c r="GL39" s="99"/>
      <c r="GM39" s="99"/>
      <c r="GN39" s="99"/>
      <c r="GO39" s="99"/>
      <c r="GP39" s="99"/>
      <c r="GQ39" s="99"/>
      <c r="GR39" s="99"/>
      <c r="GS39" s="99"/>
      <c r="GT39" s="99"/>
      <c r="GU39" s="99"/>
      <c r="GV39" s="99"/>
      <c r="GW39" s="99"/>
      <c r="GX39" s="99"/>
      <c r="GY39" s="99"/>
      <c r="GZ39" s="99"/>
      <c r="HA39" s="99"/>
      <c r="HB39" s="99"/>
      <c r="HC39" s="99"/>
      <c r="HD39" s="99"/>
      <c r="HE39" s="99"/>
      <c r="HF39" s="99"/>
      <c r="HG39" s="99"/>
      <c r="HH39" s="99"/>
      <c r="HI39" s="99"/>
      <c r="HJ39" s="99"/>
      <c r="HK39" s="99"/>
      <c r="HL39" s="99"/>
      <c r="HM39" s="99"/>
      <c r="HN39" s="99"/>
      <c r="HO39" s="99"/>
      <c r="HP39" s="99"/>
      <c r="HQ39" s="99"/>
      <c r="HR39" s="99"/>
      <c r="HS39" s="99"/>
      <c r="HT39" s="99"/>
      <c r="HU39" s="99"/>
      <c r="HV39" s="99"/>
      <c r="HW39" s="99"/>
      <c r="HX39" s="99"/>
      <c r="HY39" s="99"/>
      <c r="HZ39" s="99"/>
      <c r="IA39" s="99"/>
      <c r="IB39" s="99"/>
      <c r="IC39" s="99"/>
      <c r="ID39" s="99"/>
      <c r="IE39" s="99"/>
      <c r="IF39" s="99"/>
      <c r="IG39" s="99"/>
      <c r="IH39" s="99"/>
      <c r="II39" s="99"/>
      <c r="IJ39" s="99"/>
      <c r="IT39" s="112"/>
    </row>
    <row r="40" spans="1:254" ht="47.25">
      <c r="B40" s="185" t="s">
        <v>135</v>
      </c>
      <c r="C40" s="292" t="s">
        <v>373</v>
      </c>
      <c r="D40" s="155" t="s">
        <v>141</v>
      </c>
      <c r="E40" s="211">
        <v>2E-3</v>
      </c>
      <c r="F40" s="161"/>
      <c r="G40" s="278" t="s">
        <v>264</v>
      </c>
      <c r="H40" s="211">
        <v>2E-3</v>
      </c>
      <c r="I40" s="278" t="s">
        <v>264</v>
      </c>
      <c r="J40" s="211">
        <v>2E-3</v>
      </c>
      <c r="K40" s="278"/>
      <c r="L40" s="211"/>
      <c r="M40" s="278"/>
      <c r="N40" s="211"/>
      <c r="O40" s="162">
        <f>12.64/1000</f>
        <v>1.264E-2</v>
      </c>
      <c r="P40" s="144">
        <f>2.16/1000</f>
        <v>2.16E-3</v>
      </c>
      <c r="Q40" s="144">
        <f>P40-O40</f>
        <v>-1.048E-2</v>
      </c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99"/>
      <c r="BT40" s="99"/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99"/>
      <c r="CL40" s="99"/>
      <c r="CM40" s="99"/>
      <c r="CN40" s="99"/>
      <c r="CO40" s="99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99"/>
      <c r="DA40" s="99"/>
      <c r="DB40" s="99"/>
      <c r="DC40" s="99"/>
      <c r="DD40" s="99"/>
      <c r="DE40" s="99"/>
      <c r="DF40" s="99"/>
      <c r="DG40" s="99"/>
      <c r="DH40" s="99"/>
      <c r="DI40" s="99"/>
      <c r="DJ40" s="99"/>
      <c r="DK40" s="99"/>
      <c r="DL40" s="99"/>
      <c r="DM40" s="99"/>
      <c r="DN40" s="99"/>
      <c r="DO40" s="99"/>
      <c r="DP40" s="99"/>
      <c r="DQ40" s="99"/>
      <c r="DR40" s="99"/>
      <c r="DS40" s="99"/>
      <c r="DT40" s="99"/>
      <c r="DU40" s="99"/>
      <c r="DV40" s="99"/>
      <c r="DW40" s="99"/>
      <c r="DX40" s="99"/>
      <c r="DY40" s="99"/>
      <c r="DZ40" s="99"/>
      <c r="EA40" s="99"/>
      <c r="EB40" s="99"/>
      <c r="EC40" s="99"/>
      <c r="ED40" s="99"/>
      <c r="EE40" s="99"/>
      <c r="EF40" s="99"/>
      <c r="EG40" s="99"/>
      <c r="EH40" s="99"/>
      <c r="EI40" s="99"/>
      <c r="EJ40" s="99"/>
      <c r="EK40" s="99"/>
      <c r="EL40" s="99"/>
      <c r="EM40" s="99"/>
      <c r="EN40" s="99"/>
      <c r="EO40" s="99"/>
      <c r="EP40" s="99"/>
      <c r="EQ40" s="99"/>
      <c r="ER40" s="99"/>
      <c r="ES40" s="99"/>
      <c r="ET40" s="99"/>
      <c r="EU40" s="99"/>
      <c r="EV40" s="99"/>
      <c r="EW40" s="99"/>
      <c r="EX40" s="99"/>
      <c r="EY40" s="99"/>
      <c r="EZ40" s="99"/>
      <c r="FA40" s="99"/>
      <c r="FB40" s="99"/>
      <c r="FC40" s="99"/>
      <c r="FD40" s="99"/>
      <c r="FE40" s="99"/>
      <c r="FF40" s="99"/>
      <c r="FG40" s="99"/>
      <c r="FH40" s="99"/>
      <c r="FI40" s="99"/>
      <c r="FJ40" s="99"/>
      <c r="FK40" s="99"/>
      <c r="FL40" s="99"/>
      <c r="FM40" s="99"/>
      <c r="FN40" s="99"/>
      <c r="FO40" s="99"/>
      <c r="FP40" s="99"/>
      <c r="FQ40" s="99"/>
      <c r="FR40" s="99"/>
      <c r="FS40" s="99"/>
      <c r="FT40" s="99"/>
      <c r="FU40" s="99"/>
      <c r="FV40" s="99"/>
      <c r="FW40" s="99"/>
      <c r="FX40" s="99"/>
      <c r="FY40" s="99"/>
      <c r="FZ40" s="99"/>
      <c r="GA40" s="99"/>
      <c r="GB40" s="99"/>
      <c r="GC40" s="99"/>
      <c r="GD40" s="99"/>
      <c r="GE40" s="99"/>
      <c r="GF40" s="99"/>
      <c r="GG40" s="99"/>
      <c r="GH40" s="99"/>
      <c r="GI40" s="99"/>
      <c r="GJ40" s="99"/>
      <c r="GK40" s="99"/>
      <c r="GL40" s="99"/>
      <c r="GM40" s="99"/>
      <c r="GN40" s="99"/>
      <c r="GO40" s="99"/>
      <c r="GP40" s="99"/>
      <c r="GQ40" s="99"/>
      <c r="GR40" s="99"/>
      <c r="GS40" s="99"/>
      <c r="GT40" s="99"/>
      <c r="GU40" s="99"/>
      <c r="GV40" s="99"/>
      <c r="GW40" s="99"/>
      <c r="GX40" s="99"/>
      <c r="GY40" s="99"/>
      <c r="GZ40" s="99"/>
      <c r="HA40" s="99"/>
      <c r="HB40" s="99"/>
      <c r="HC40" s="99"/>
      <c r="HD40" s="99"/>
      <c r="HE40" s="99"/>
      <c r="HF40" s="99"/>
      <c r="HG40" s="99"/>
      <c r="HH40" s="99"/>
      <c r="HI40" s="99"/>
      <c r="HJ40" s="99"/>
      <c r="HK40" s="99"/>
      <c r="HL40" s="99"/>
      <c r="HM40" s="99"/>
      <c r="HN40" s="99"/>
      <c r="HO40" s="99"/>
      <c r="HP40" s="99"/>
      <c r="HQ40" s="99"/>
      <c r="HR40" s="99"/>
      <c r="HS40" s="99"/>
      <c r="HT40" s="99"/>
      <c r="HU40" s="99"/>
      <c r="HV40" s="99"/>
      <c r="HW40" s="99"/>
      <c r="HX40" s="99"/>
      <c r="HY40" s="99"/>
      <c r="HZ40" s="99"/>
      <c r="IA40" s="99"/>
      <c r="IB40" s="99"/>
      <c r="IC40" s="99"/>
      <c r="ID40" s="99"/>
      <c r="IE40" s="99"/>
      <c r="IF40" s="99"/>
      <c r="IG40" s="99"/>
      <c r="IH40" s="99"/>
      <c r="II40" s="99"/>
      <c r="IJ40" s="99"/>
      <c r="IT40" s="112"/>
    </row>
    <row r="41" spans="1:254">
      <c r="B41" s="207" t="s">
        <v>166</v>
      </c>
      <c r="C41" s="298" t="s">
        <v>237</v>
      </c>
      <c r="D41" s="137" t="s">
        <v>165</v>
      </c>
      <c r="E41" s="138" t="s">
        <v>238</v>
      </c>
      <c r="F41" s="158"/>
      <c r="G41" s="277" t="s">
        <v>557</v>
      </c>
      <c r="H41" s="138" t="s">
        <v>238</v>
      </c>
      <c r="I41" s="277" t="s">
        <v>557</v>
      </c>
      <c r="J41" s="138" t="s">
        <v>238</v>
      </c>
      <c r="K41" s="277"/>
      <c r="L41" s="138"/>
      <c r="M41" s="277"/>
      <c r="N41" s="138"/>
      <c r="O41" s="144">
        <f>19.27*4/1000</f>
        <v>7.7079999999999996E-2</v>
      </c>
      <c r="P41" s="144"/>
      <c r="Q41" s="144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99"/>
      <c r="CL41" s="99"/>
      <c r="CM41" s="99"/>
      <c r="CN41" s="99"/>
      <c r="CO41" s="99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99"/>
      <c r="DA41" s="99"/>
      <c r="DB41" s="99"/>
      <c r="DC41" s="99"/>
      <c r="DD41" s="99"/>
      <c r="DE41" s="99"/>
      <c r="DF41" s="99"/>
      <c r="DG41" s="99"/>
      <c r="DH41" s="99"/>
      <c r="DI41" s="99"/>
      <c r="DJ41" s="99"/>
      <c r="DK41" s="99"/>
      <c r="DL41" s="99"/>
      <c r="DM41" s="99"/>
      <c r="DN41" s="99"/>
      <c r="DO41" s="99"/>
      <c r="DP41" s="99"/>
      <c r="DQ41" s="99"/>
      <c r="DR41" s="99"/>
      <c r="DS41" s="99"/>
      <c r="DT41" s="99"/>
      <c r="DU41" s="99"/>
      <c r="DV41" s="99"/>
      <c r="DW41" s="99"/>
      <c r="DX41" s="99"/>
      <c r="DY41" s="99"/>
      <c r="DZ41" s="99"/>
      <c r="EA41" s="99"/>
      <c r="EB41" s="99"/>
      <c r="EC41" s="99"/>
      <c r="ED41" s="99"/>
      <c r="EE41" s="99"/>
      <c r="EF41" s="99"/>
      <c r="EG41" s="99"/>
      <c r="EH41" s="99"/>
      <c r="EI41" s="99"/>
      <c r="EJ41" s="99"/>
      <c r="EK41" s="99"/>
      <c r="EL41" s="99"/>
      <c r="EM41" s="99"/>
      <c r="EN41" s="99"/>
      <c r="EO41" s="99"/>
      <c r="EP41" s="99"/>
      <c r="EQ41" s="99"/>
      <c r="ER41" s="99"/>
      <c r="ES41" s="99"/>
      <c r="ET41" s="99"/>
      <c r="EU41" s="99"/>
      <c r="EV41" s="99"/>
      <c r="EW41" s="99"/>
      <c r="EX41" s="99"/>
      <c r="EY41" s="99"/>
      <c r="EZ41" s="99"/>
      <c r="FA41" s="99"/>
      <c r="FB41" s="99"/>
      <c r="FC41" s="99"/>
      <c r="FD41" s="99"/>
      <c r="FE41" s="99"/>
      <c r="FF41" s="99"/>
      <c r="FG41" s="99"/>
      <c r="FH41" s="99"/>
      <c r="FI41" s="99"/>
      <c r="FJ41" s="99"/>
      <c r="FK41" s="99"/>
      <c r="FL41" s="99"/>
      <c r="FM41" s="99"/>
      <c r="FN41" s="99"/>
      <c r="FO41" s="99"/>
      <c r="FP41" s="99"/>
      <c r="FQ41" s="99"/>
      <c r="FR41" s="99"/>
      <c r="FS41" s="99"/>
      <c r="FT41" s="99"/>
      <c r="FU41" s="99"/>
      <c r="FV41" s="99"/>
      <c r="FW41" s="99"/>
      <c r="FX41" s="99"/>
      <c r="FY41" s="99"/>
      <c r="FZ41" s="99"/>
      <c r="GA41" s="99"/>
      <c r="GB41" s="99"/>
      <c r="GC41" s="99"/>
      <c r="GD41" s="99"/>
      <c r="GE41" s="99"/>
      <c r="GF41" s="99"/>
      <c r="GG41" s="99"/>
      <c r="GH41" s="99"/>
      <c r="GI41" s="99"/>
      <c r="GJ41" s="99"/>
      <c r="GK41" s="99"/>
      <c r="GL41" s="99"/>
      <c r="GM41" s="99"/>
      <c r="GN41" s="99"/>
      <c r="GO41" s="99"/>
      <c r="GP41" s="99"/>
      <c r="GQ41" s="99"/>
      <c r="GR41" s="99"/>
      <c r="GS41" s="99"/>
      <c r="GT41" s="99"/>
      <c r="GU41" s="99"/>
      <c r="GV41" s="99"/>
      <c r="GW41" s="99"/>
      <c r="GX41" s="99"/>
      <c r="GY41" s="99"/>
      <c r="GZ41" s="99"/>
      <c r="HA41" s="99"/>
      <c r="HB41" s="99"/>
      <c r="HC41" s="99"/>
      <c r="HD41" s="99"/>
      <c r="HE41" s="99"/>
      <c r="HF41" s="99"/>
      <c r="HG41" s="99"/>
      <c r="HH41" s="99"/>
      <c r="HI41" s="99"/>
      <c r="HJ41" s="99"/>
      <c r="HK41" s="99"/>
      <c r="HL41" s="99"/>
      <c r="HM41" s="99"/>
      <c r="HN41" s="99"/>
      <c r="HO41" s="99"/>
      <c r="HP41" s="99"/>
      <c r="HQ41" s="99"/>
      <c r="HR41" s="99"/>
      <c r="HS41" s="99"/>
      <c r="HT41" s="99"/>
      <c r="HU41" s="99"/>
      <c r="HV41" s="99"/>
      <c r="HW41" s="99"/>
      <c r="HX41" s="99"/>
      <c r="HY41" s="99"/>
      <c r="HZ41" s="99"/>
      <c r="IA41" s="99"/>
      <c r="IB41" s="99"/>
      <c r="IC41" s="99"/>
      <c r="ID41" s="99"/>
      <c r="IE41" s="99"/>
      <c r="IF41" s="99"/>
      <c r="IG41" s="99"/>
      <c r="IH41" s="99"/>
      <c r="II41" s="99"/>
      <c r="IJ41" s="99"/>
      <c r="IT41" s="112"/>
    </row>
    <row r="42" spans="1:254" ht="115.7" customHeight="1" thickBot="1">
      <c r="A42" s="463" t="s">
        <v>510</v>
      </c>
      <c r="B42" s="467"/>
      <c r="C42" s="615"/>
      <c r="D42" s="469"/>
      <c r="E42" s="473"/>
      <c r="F42" s="616"/>
      <c r="G42" s="474"/>
      <c r="H42" s="473"/>
      <c r="I42" s="474"/>
      <c r="J42" s="473"/>
      <c r="K42" s="474"/>
      <c r="L42" s="473"/>
      <c r="M42" s="474"/>
      <c r="N42" s="475"/>
      <c r="O42" s="144"/>
      <c r="P42" s="144"/>
      <c r="Q42" s="144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  <c r="DO42" s="99"/>
      <c r="DP42" s="99"/>
      <c r="DQ42" s="99"/>
      <c r="DR42" s="99"/>
      <c r="DS42" s="99"/>
      <c r="DT42" s="99"/>
      <c r="DU42" s="99"/>
      <c r="DV42" s="99"/>
      <c r="DW42" s="99"/>
      <c r="DX42" s="99"/>
      <c r="DY42" s="99"/>
      <c r="DZ42" s="99"/>
      <c r="EA42" s="99"/>
      <c r="EB42" s="99"/>
      <c r="EC42" s="99"/>
      <c r="ED42" s="99"/>
      <c r="EE42" s="99"/>
      <c r="EF42" s="99"/>
      <c r="EG42" s="99"/>
      <c r="EH42" s="99"/>
      <c r="EI42" s="99"/>
      <c r="EJ42" s="99"/>
      <c r="EK42" s="99"/>
      <c r="EL42" s="99"/>
      <c r="EM42" s="99"/>
      <c r="EN42" s="99"/>
      <c r="EO42" s="99"/>
      <c r="EP42" s="99"/>
      <c r="EQ42" s="99"/>
      <c r="ER42" s="99"/>
      <c r="ES42" s="99"/>
      <c r="ET42" s="99"/>
      <c r="EU42" s="99"/>
      <c r="EV42" s="99"/>
      <c r="EW42" s="99"/>
      <c r="EX42" s="99"/>
      <c r="EY42" s="99"/>
      <c r="EZ42" s="99"/>
      <c r="FA42" s="99"/>
      <c r="FB42" s="99"/>
      <c r="FC42" s="99"/>
      <c r="FD42" s="99"/>
      <c r="FE42" s="99"/>
      <c r="FF42" s="99"/>
      <c r="FG42" s="99"/>
      <c r="FH42" s="99"/>
      <c r="FI42" s="99"/>
      <c r="FJ42" s="99"/>
      <c r="FK42" s="99"/>
      <c r="FL42" s="99"/>
      <c r="FM42" s="99"/>
      <c r="FN42" s="99"/>
      <c r="FO42" s="99"/>
      <c r="FP42" s="99"/>
      <c r="FQ42" s="99"/>
      <c r="FR42" s="99"/>
      <c r="FS42" s="99"/>
      <c r="FT42" s="99"/>
      <c r="FU42" s="99"/>
      <c r="FV42" s="99"/>
      <c r="FW42" s="99"/>
      <c r="FX42" s="99"/>
      <c r="FY42" s="99"/>
      <c r="FZ42" s="99"/>
      <c r="GA42" s="99"/>
      <c r="GB42" s="99"/>
      <c r="GC42" s="99"/>
      <c r="GD42" s="99"/>
      <c r="GE42" s="99"/>
      <c r="GF42" s="99"/>
      <c r="GG42" s="99"/>
      <c r="GH42" s="99"/>
      <c r="GI42" s="99"/>
      <c r="GJ42" s="99"/>
      <c r="GK42" s="99"/>
      <c r="GL42" s="99"/>
      <c r="GM42" s="99"/>
      <c r="GN42" s="99"/>
      <c r="GO42" s="99"/>
      <c r="GP42" s="99"/>
      <c r="GQ42" s="99"/>
      <c r="GR42" s="99"/>
      <c r="GS42" s="99"/>
      <c r="GT42" s="99"/>
      <c r="GU42" s="99"/>
      <c r="GV42" s="99"/>
      <c r="GW42" s="99"/>
      <c r="GX42" s="99"/>
      <c r="GY42" s="99"/>
      <c r="GZ42" s="99"/>
      <c r="HA42" s="99"/>
      <c r="HB42" s="99"/>
      <c r="HC42" s="99"/>
      <c r="HD42" s="99"/>
      <c r="HE42" s="99"/>
      <c r="HF42" s="99"/>
      <c r="HG42" s="99"/>
      <c r="HH42" s="99"/>
      <c r="HI42" s="99"/>
      <c r="HJ42" s="99"/>
      <c r="HK42" s="99"/>
      <c r="HL42" s="99"/>
      <c r="HM42" s="99"/>
      <c r="HN42" s="99"/>
      <c r="HO42" s="99"/>
      <c r="HP42" s="99"/>
      <c r="HQ42" s="99"/>
      <c r="HR42" s="99"/>
      <c r="HS42" s="99"/>
      <c r="HT42" s="99"/>
      <c r="HU42" s="99"/>
      <c r="HV42" s="99"/>
      <c r="HW42" s="99"/>
      <c r="HX42" s="99"/>
      <c r="HY42" s="99"/>
      <c r="HZ42" s="99"/>
      <c r="IA42" s="99"/>
      <c r="IB42" s="99"/>
      <c r="IC42" s="99"/>
      <c r="ID42" s="99"/>
      <c r="IE42" s="99"/>
      <c r="IF42" s="99"/>
      <c r="IG42" s="99"/>
      <c r="IH42" s="99"/>
      <c r="II42" s="99"/>
      <c r="IJ42" s="99"/>
      <c r="IT42" s="112"/>
    </row>
    <row r="43" spans="1:254" ht="30" customHeight="1" thickBot="1">
      <c r="A43" s="463" t="s">
        <v>510</v>
      </c>
      <c r="B43" s="479"/>
      <c r="C43" s="617"/>
      <c r="D43" s="476"/>
      <c r="E43" s="477"/>
      <c r="F43" s="618"/>
      <c r="G43" s="478"/>
      <c r="H43" s="477"/>
      <c r="I43" s="478"/>
      <c r="J43" s="477"/>
      <c r="K43" s="478"/>
      <c r="L43" s="477"/>
      <c r="M43" s="478"/>
      <c r="N43" s="477"/>
      <c r="O43" s="144"/>
      <c r="P43" s="144"/>
      <c r="Q43" s="144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  <c r="DQ43" s="99"/>
      <c r="DR43" s="99"/>
      <c r="DS43" s="99"/>
      <c r="DT43" s="99"/>
      <c r="DU43" s="99"/>
      <c r="DV43" s="99"/>
      <c r="DW43" s="99"/>
      <c r="DX43" s="99"/>
      <c r="DY43" s="99"/>
      <c r="DZ43" s="99"/>
      <c r="EA43" s="99"/>
      <c r="EB43" s="99"/>
      <c r="EC43" s="99"/>
      <c r="ED43" s="99"/>
      <c r="EE43" s="99"/>
      <c r="EF43" s="99"/>
      <c r="EG43" s="99"/>
      <c r="EH43" s="99"/>
      <c r="EI43" s="99"/>
      <c r="EJ43" s="99"/>
      <c r="EK43" s="99"/>
      <c r="EL43" s="99"/>
      <c r="EM43" s="99"/>
      <c r="EN43" s="99"/>
      <c r="EO43" s="99"/>
      <c r="EP43" s="99"/>
      <c r="EQ43" s="99"/>
      <c r="ER43" s="99"/>
      <c r="ES43" s="99"/>
      <c r="ET43" s="99"/>
      <c r="EU43" s="99"/>
      <c r="EV43" s="99"/>
      <c r="EW43" s="99"/>
      <c r="EX43" s="99"/>
      <c r="EY43" s="99"/>
      <c r="EZ43" s="99"/>
      <c r="FA43" s="99"/>
      <c r="FB43" s="99"/>
      <c r="FC43" s="99"/>
      <c r="FD43" s="99"/>
      <c r="FE43" s="99"/>
      <c r="FF43" s="99"/>
      <c r="FG43" s="99"/>
      <c r="FH43" s="99"/>
      <c r="FI43" s="99"/>
      <c r="FJ43" s="99"/>
      <c r="FK43" s="99"/>
      <c r="FL43" s="99"/>
      <c r="FM43" s="99"/>
      <c r="FN43" s="99"/>
      <c r="FO43" s="99"/>
      <c r="FP43" s="99"/>
      <c r="FQ43" s="99"/>
      <c r="FR43" s="99"/>
      <c r="FS43" s="99"/>
      <c r="FT43" s="99"/>
      <c r="FU43" s="99"/>
      <c r="FV43" s="99"/>
      <c r="FW43" s="99"/>
      <c r="FX43" s="99"/>
      <c r="FY43" s="99"/>
      <c r="FZ43" s="99"/>
      <c r="GA43" s="99"/>
      <c r="GB43" s="99"/>
      <c r="GC43" s="99"/>
      <c r="GD43" s="99"/>
      <c r="GE43" s="99"/>
      <c r="GF43" s="99"/>
      <c r="GG43" s="99"/>
      <c r="GH43" s="99"/>
      <c r="GI43" s="99"/>
      <c r="GJ43" s="99"/>
      <c r="GK43" s="99"/>
      <c r="GL43" s="99"/>
      <c r="GM43" s="99"/>
      <c r="GN43" s="99"/>
      <c r="GO43" s="99"/>
      <c r="GP43" s="99"/>
      <c r="GQ43" s="99"/>
      <c r="GR43" s="99"/>
      <c r="GS43" s="99"/>
      <c r="GT43" s="99"/>
      <c r="GU43" s="99"/>
      <c r="GV43" s="99"/>
      <c r="GW43" s="99"/>
      <c r="GX43" s="99"/>
      <c r="GY43" s="99"/>
      <c r="GZ43" s="99"/>
      <c r="HA43" s="99"/>
      <c r="HB43" s="99"/>
      <c r="HC43" s="99"/>
      <c r="HD43" s="99"/>
      <c r="HE43" s="99"/>
      <c r="HF43" s="99"/>
      <c r="HG43" s="99"/>
      <c r="HH43" s="99"/>
      <c r="HI43" s="99"/>
      <c r="HJ43" s="99"/>
      <c r="HK43" s="99"/>
      <c r="HL43" s="99"/>
      <c r="HM43" s="99"/>
      <c r="HN43" s="99"/>
      <c r="HO43" s="99"/>
      <c r="HP43" s="99"/>
      <c r="HQ43" s="99"/>
      <c r="HR43" s="99"/>
      <c r="HS43" s="99"/>
      <c r="HT43" s="99"/>
      <c r="HU43" s="99"/>
      <c r="HV43" s="99"/>
      <c r="HW43" s="99"/>
      <c r="HX43" s="99"/>
      <c r="HY43" s="99"/>
      <c r="HZ43" s="99"/>
      <c r="IA43" s="99"/>
      <c r="IB43" s="99"/>
      <c r="IC43" s="99"/>
      <c r="ID43" s="99"/>
      <c r="IE43" s="99"/>
      <c r="IF43" s="99"/>
      <c r="IG43" s="99"/>
      <c r="IH43" s="99"/>
      <c r="II43" s="99"/>
      <c r="IJ43" s="99"/>
      <c r="IT43" s="112"/>
    </row>
    <row r="44" spans="1:254" ht="36" customHeight="1" thickBot="1">
      <c r="A44" s="463" t="s">
        <v>510</v>
      </c>
      <c r="B44" s="642" t="s">
        <v>35</v>
      </c>
      <c r="C44" s="642" t="s">
        <v>36</v>
      </c>
      <c r="D44" s="642" t="s">
        <v>37</v>
      </c>
      <c r="E44" s="642" t="s">
        <v>92</v>
      </c>
      <c r="F44" s="642" t="s">
        <v>18</v>
      </c>
      <c r="G44" s="645" t="s">
        <v>100</v>
      </c>
      <c r="H44" s="646"/>
      <c r="I44" s="646"/>
      <c r="J44" s="646"/>
      <c r="K44" s="646"/>
      <c r="L44" s="646"/>
      <c r="M44" s="646"/>
      <c r="N44" s="647"/>
      <c r="O44" s="134"/>
      <c r="P44" s="134"/>
      <c r="Q44" s="134"/>
      <c r="R44" s="134"/>
    </row>
    <row r="45" spans="1:254" ht="15.75" customHeight="1" thickBot="1">
      <c r="A45" s="463" t="s">
        <v>510</v>
      </c>
      <c r="B45" s="643"/>
      <c r="C45" s="643"/>
      <c r="D45" s="643"/>
      <c r="E45" s="643"/>
      <c r="F45" s="643"/>
      <c r="G45" s="645" t="s">
        <v>553</v>
      </c>
      <c r="H45" s="648"/>
      <c r="I45" s="645" t="s">
        <v>575</v>
      </c>
      <c r="J45" s="648"/>
      <c r="K45" s="645" t="s">
        <v>554</v>
      </c>
      <c r="L45" s="648"/>
      <c r="M45" s="645" t="s">
        <v>554</v>
      </c>
      <c r="N45" s="648"/>
      <c r="O45" s="134"/>
      <c r="P45" s="134"/>
      <c r="Q45" s="134"/>
      <c r="R45" s="134"/>
    </row>
    <row r="46" spans="1:254" ht="16.5" thickBot="1">
      <c r="A46" s="463" t="s">
        <v>510</v>
      </c>
      <c r="B46" s="644"/>
      <c r="C46" s="644"/>
      <c r="D46" s="644"/>
      <c r="E46" s="644"/>
      <c r="F46" s="644"/>
      <c r="G46" s="118" t="s">
        <v>38</v>
      </c>
      <c r="H46" s="118" t="s">
        <v>39</v>
      </c>
      <c r="I46" s="118" t="s">
        <v>38</v>
      </c>
      <c r="J46" s="118" t="s">
        <v>39</v>
      </c>
      <c r="K46" s="118" t="s">
        <v>38</v>
      </c>
      <c r="L46" s="118" t="s">
        <v>39</v>
      </c>
      <c r="M46" s="118" t="s">
        <v>38</v>
      </c>
      <c r="N46" s="118" t="s">
        <v>39</v>
      </c>
      <c r="O46" s="134"/>
      <c r="P46" s="134"/>
      <c r="Q46" s="134"/>
      <c r="R46" s="134"/>
    </row>
    <row r="47" spans="1:254">
      <c r="A47" s="463" t="s">
        <v>510</v>
      </c>
      <c r="B47" s="119" t="s">
        <v>115</v>
      </c>
      <c r="C47" s="120" t="s">
        <v>116</v>
      </c>
      <c r="D47" s="120" t="s">
        <v>117</v>
      </c>
      <c r="E47" s="120" t="s">
        <v>118</v>
      </c>
      <c r="F47" s="119" t="s">
        <v>119</v>
      </c>
      <c r="G47" s="121" t="s">
        <v>120</v>
      </c>
      <c r="H47" s="121" t="s">
        <v>121</v>
      </c>
      <c r="I47" s="122">
        <v>8</v>
      </c>
      <c r="J47" s="123">
        <v>9</v>
      </c>
      <c r="K47" s="124">
        <v>10</v>
      </c>
      <c r="L47" s="123">
        <v>11</v>
      </c>
      <c r="M47" s="124">
        <v>12</v>
      </c>
      <c r="N47" s="123">
        <v>13</v>
      </c>
      <c r="O47" s="125"/>
      <c r="P47" s="125"/>
      <c r="Q47" s="125"/>
      <c r="R47" s="125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99"/>
      <c r="DC47" s="99"/>
      <c r="DD47" s="99"/>
      <c r="DE47" s="99"/>
      <c r="DF47" s="99"/>
      <c r="DG47" s="99"/>
      <c r="DH47" s="99"/>
      <c r="DI47" s="99"/>
      <c r="DJ47" s="99"/>
      <c r="DK47" s="99"/>
      <c r="DL47" s="99"/>
      <c r="DM47" s="99"/>
      <c r="DN47" s="99"/>
      <c r="DO47" s="99"/>
      <c r="DP47" s="99"/>
      <c r="DQ47" s="99"/>
      <c r="DR47" s="99"/>
      <c r="DS47" s="99"/>
      <c r="DT47" s="99"/>
      <c r="DU47" s="99"/>
      <c r="DV47" s="99"/>
      <c r="DW47" s="99"/>
      <c r="DX47" s="99"/>
      <c r="DY47" s="99"/>
      <c r="DZ47" s="99"/>
      <c r="EA47" s="99"/>
      <c r="EB47" s="99"/>
      <c r="EC47" s="99"/>
      <c r="ED47" s="99"/>
      <c r="EE47" s="99"/>
      <c r="EF47" s="99"/>
      <c r="EG47" s="99"/>
      <c r="EH47" s="99"/>
      <c r="EI47" s="99"/>
      <c r="EJ47" s="99"/>
      <c r="EK47" s="99"/>
      <c r="EL47" s="99"/>
      <c r="EM47" s="99"/>
      <c r="EN47" s="99"/>
      <c r="EO47" s="99"/>
      <c r="EP47" s="99"/>
      <c r="EQ47" s="99"/>
      <c r="ER47" s="99"/>
      <c r="ES47" s="99"/>
      <c r="ET47" s="99"/>
      <c r="EU47" s="99"/>
      <c r="EV47" s="99"/>
      <c r="EW47" s="99"/>
      <c r="EX47" s="99"/>
      <c r="EY47" s="99"/>
      <c r="EZ47" s="99"/>
      <c r="FA47" s="99"/>
      <c r="FB47" s="99"/>
      <c r="FC47" s="99"/>
      <c r="FD47" s="99"/>
      <c r="FE47" s="99"/>
      <c r="FF47" s="99"/>
      <c r="FG47" s="99"/>
      <c r="FH47" s="99"/>
      <c r="FI47" s="99"/>
      <c r="FJ47" s="99"/>
      <c r="FK47" s="99"/>
      <c r="FL47" s="99"/>
      <c r="FM47" s="99"/>
      <c r="FN47" s="99"/>
      <c r="FO47" s="99"/>
      <c r="FP47" s="99"/>
      <c r="FQ47" s="99"/>
      <c r="FR47" s="99"/>
      <c r="FS47" s="99"/>
      <c r="FT47" s="99"/>
      <c r="FU47" s="99"/>
      <c r="FV47" s="99"/>
      <c r="FW47" s="99"/>
      <c r="FX47" s="99"/>
      <c r="FY47" s="99"/>
      <c r="FZ47" s="99"/>
      <c r="GA47" s="99"/>
      <c r="GB47" s="99"/>
      <c r="GC47" s="99"/>
      <c r="GD47" s="99"/>
      <c r="GE47" s="99"/>
      <c r="GF47" s="99"/>
      <c r="GG47" s="99"/>
      <c r="GH47" s="99"/>
      <c r="GI47" s="99"/>
      <c r="GJ47" s="99"/>
      <c r="GK47" s="99"/>
      <c r="GL47" s="99"/>
      <c r="GM47" s="99"/>
      <c r="GN47" s="99"/>
      <c r="GO47" s="99"/>
      <c r="GP47" s="99"/>
      <c r="GQ47" s="99"/>
      <c r="GR47" s="99"/>
      <c r="GS47" s="99"/>
      <c r="GT47" s="99"/>
      <c r="GU47" s="99"/>
      <c r="GV47" s="99"/>
      <c r="GW47" s="99"/>
      <c r="GX47" s="99"/>
      <c r="GY47" s="99"/>
      <c r="GZ47" s="99"/>
      <c r="HA47" s="99"/>
      <c r="HB47" s="99"/>
      <c r="HC47" s="99"/>
      <c r="HD47" s="99"/>
      <c r="HE47" s="99"/>
      <c r="HF47" s="99"/>
      <c r="HG47" s="99"/>
      <c r="HH47" s="99"/>
      <c r="HI47" s="99"/>
      <c r="HJ47" s="99"/>
      <c r="HK47" s="99"/>
      <c r="HL47" s="99"/>
      <c r="HM47" s="99"/>
      <c r="HN47" s="99"/>
      <c r="HO47" s="99"/>
      <c r="HP47" s="99"/>
      <c r="HQ47" s="99"/>
      <c r="HR47" s="99"/>
      <c r="HS47" s="99"/>
      <c r="HT47" s="99"/>
      <c r="HU47" s="99"/>
      <c r="HV47" s="99"/>
      <c r="HW47" s="99"/>
      <c r="HX47" s="99"/>
      <c r="HY47" s="99"/>
      <c r="HZ47" s="99"/>
      <c r="IA47" s="99"/>
      <c r="IB47" s="99"/>
      <c r="IC47" s="99"/>
      <c r="ID47" s="99"/>
      <c r="IE47" s="99"/>
      <c r="IF47" s="99"/>
      <c r="IG47" s="99"/>
      <c r="IH47" s="99"/>
      <c r="II47" s="99"/>
      <c r="IJ47" s="99"/>
    </row>
    <row r="48" spans="1:254" ht="34.5">
      <c r="B48" s="186" t="s">
        <v>167</v>
      </c>
      <c r="C48" s="614" t="s">
        <v>242</v>
      </c>
      <c r="D48" s="136" t="s">
        <v>560</v>
      </c>
      <c r="E48" s="136">
        <v>0.06</v>
      </c>
      <c r="F48" s="136"/>
      <c r="G48" s="613" t="s">
        <v>264</v>
      </c>
      <c r="H48" s="136">
        <v>0.06</v>
      </c>
      <c r="I48" s="613" t="s">
        <v>264</v>
      </c>
      <c r="J48" s="136">
        <v>0.06</v>
      </c>
      <c r="K48" s="613"/>
      <c r="L48" s="136"/>
      <c r="M48" s="613"/>
      <c r="N48" s="136"/>
      <c r="O48" s="144">
        <f>0.9*0.9</f>
        <v>0.81</v>
      </c>
      <c r="P48" s="144"/>
      <c r="Q48" s="144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99"/>
      <c r="CF48" s="99"/>
      <c r="CG48" s="99"/>
      <c r="CH48" s="99"/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99"/>
      <c r="DA48" s="99"/>
      <c r="DB48" s="99"/>
      <c r="DC48" s="99"/>
      <c r="DD48" s="99"/>
      <c r="DE48" s="99"/>
      <c r="DF48" s="99"/>
      <c r="DG48" s="99"/>
      <c r="DH48" s="99"/>
      <c r="DI48" s="99"/>
      <c r="DJ48" s="99"/>
      <c r="DK48" s="99"/>
      <c r="DL48" s="99"/>
      <c r="DM48" s="99"/>
      <c r="DN48" s="99"/>
      <c r="DO48" s="99"/>
      <c r="DP48" s="99"/>
      <c r="DQ48" s="99"/>
      <c r="DR48" s="99"/>
      <c r="DS48" s="99"/>
      <c r="DT48" s="99"/>
      <c r="DU48" s="99"/>
      <c r="DV48" s="99"/>
      <c r="DW48" s="99"/>
      <c r="DX48" s="99"/>
      <c r="DY48" s="99"/>
      <c r="DZ48" s="99"/>
      <c r="EA48" s="99"/>
      <c r="EB48" s="99"/>
      <c r="EC48" s="99"/>
      <c r="ED48" s="99"/>
      <c r="EE48" s="99"/>
      <c r="EF48" s="99"/>
      <c r="EG48" s="99"/>
      <c r="EH48" s="99"/>
      <c r="EI48" s="99"/>
      <c r="EJ48" s="99"/>
      <c r="EK48" s="99"/>
      <c r="EL48" s="99"/>
      <c r="EM48" s="99"/>
      <c r="EN48" s="99"/>
      <c r="EO48" s="99"/>
      <c r="EP48" s="99"/>
      <c r="EQ48" s="99"/>
      <c r="ER48" s="99"/>
      <c r="ES48" s="99"/>
      <c r="ET48" s="99"/>
      <c r="EU48" s="99"/>
      <c r="EV48" s="99"/>
      <c r="EW48" s="99"/>
      <c r="EX48" s="99"/>
      <c r="EY48" s="99"/>
      <c r="EZ48" s="99"/>
      <c r="FA48" s="99"/>
      <c r="FB48" s="99"/>
      <c r="FC48" s="99"/>
      <c r="FD48" s="99"/>
      <c r="FE48" s="99"/>
      <c r="FF48" s="99"/>
      <c r="FG48" s="99"/>
      <c r="FH48" s="99"/>
      <c r="FI48" s="99"/>
      <c r="FJ48" s="99"/>
      <c r="FK48" s="99"/>
      <c r="FL48" s="99"/>
      <c r="FM48" s="99"/>
      <c r="FN48" s="99"/>
      <c r="FO48" s="99"/>
      <c r="FP48" s="99"/>
      <c r="FQ48" s="99"/>
      <c r="FR48" s="99"/>
      <c r="FS48" s="99"/>
      <c r="FT48" s="99"/>
      <c r="FU48" s="99"/>
      <c r="FV48" s="99"/>
      <c r="FW48" s="99"/>
      <c r="FX48" s="99"/>
      <c r="FY48" s="99"/>
      <c r="FZ48" s="99"/>
      <c r="GA48" s="99"/>
      <c r="GB48" s="99"/>
      <c r="GC48" s="99"/>
      <c r="GD48" s="99"/>
      <c r="GE48" s="99"/>
      <c r="GF48" s="99"/>
      <c r="GG48" s="99"/>
      <c r="GH48" s="99"/>
      <c r="GI48" s="99"/>
      <c r="GJ48" s="99"/>
      <c r="GK48" s="99"/>
      <c r="GL48" s="99"/>
      <c r="GM48" s="99"/>
      <c r="GN48" s="99"/>
      <c r="GO48" s="99"/>
      <c r="GP48" s="99"/>
      <c r="GQ48" s="99"/>
      <c r="GR48" s="99"/>
      <c r="GS48" s="99"/>
      <c r="GT48" s="99"/>
      <c r="GU48" s="99"/>
      <c r="GV48" s="99"/>
      <c r="GW48" s="99"/>
      <c r="GX48" s="99"/>
      <c r="GY48" s="99"/>
      <c r="GZ48" s="99"/>
      <c r="HA48" s="99"/>
      <c r="HB48" s="99"/>
      <c r="HC48" s="99"/>
      <c r="HD48" s="99"/>
      <c r="HE48" s="99"/>
      <c r="HF48" s="99"/>
      <c r="HG48" s="99"/>
      <c r="HH48" s="99"/>
      <c r="HI48" s="99"/>
      <c r="HJ48" s="99"/>
      <c r="HK48" s="99"/>
      <c r="HL48" s="99"/>
      <c r="HM48" s="99"/>
      <c r="HN48" s="99"/>
      <c r="HO48" s="99"/>
      <c r="HP48" s="99"/>
      <c r="HQ48" s="99"/>
      <c r="HR48" s="99"/>
      <c r="HS48" s="99"/>
      <c r="HT48" s="99"/>
      <c r="HU48" s="99"/>
      <c r="HV48" s="99"/>
      <c r="HW48" s="99"/>
      <c r="HX48" s="99"/>
      <c r="HY48" s="99"/>
      <c r="HZ48" s="99"/>
      <c r="IA48" s="99"/>
      <c r="IB48" s="99"/>
      <c r="IC48" s="99"/>
      <c r="ID48" s="99"/>
      <c r="IE48" s="99"/>
      <c r="IF48" s="99"/>
      <c r="IG48" s="99"/>
      <c r="IH48" s="99"/>
      <c r="II48" s="99"/>
      <c r="IJ48" s="99"/>
      <c r="IT48" s="112"/>
    </row>
    <row r="49" spans="1:254" ht="47.25">
      <c r="B49" s="186" t="s">
        <v>178</v>
      </c>
      <c r="C49" s="330" t="s">
        <v>236</v>
      </c>
      <c r="D49" s="136" t="s">
        <v>563</v>
      </c>
      <c r="E49" s="159">
        <v>10.08</v>
      </c>
      <c r="F49" s="160"/>
      <c r="G49" s="266" t="s">
        <v>264</v>
      </c>
      <c r="H49" s="159">
        <v>10.08</v>
      </c>
      <c r="I49" s="266" t="s">
        <v>264</v>
      </c>
      <c r="J49" s="159">
        <v>10.08</v>
      </c>
      <c r="K49" s="600"/>
      <c r="L49" s="601"/>
      <c r="M49" s="600"/>
      <c r="N49" s="601"/>
      <c r="O49" s="144">
        <f>1.2*(1.5*4)+1.5*1.5</f>
        <v>9.4499999999999993</v>
      </c>
      <c r="P49" s="144">
        <f>1.2*(1.6*4)+1.6*1.5</f>
        <v>10.08</v>
      </c>
      <c r="Q49" s="144">
        <f>P49-O49</f>
        <v>0.63000000000000078</v>
      </c>
      <c r="R49" s="99"/>
      <c r="S49" s="99">
        <f>9.45+0.63</f>
        <v>10.08</v>
      </c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99"/>
      <c r="CF49" s="99"/>
      <c r="CG49" s="99"/>
      <c r="CH49" s="99"/>
      <c r="CI49" s="99"/>
      <c r="CJ49" s="99"/>
      <c r="CK49" s="99"/>
      <c r="CL49" s="99"/>
      <c r="CM49" s="99"/>
      <c r="CN49" s="99"/>
      <c r="CO49" s="99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99"/>
      <c r="DA49" s="99"/>
      <c r="DB49" s="99"/>
      <c r="DC49" s="99"/>
      <c r="DD49" s="99"/>
      <c r="DE49" s="99"/>
      <c r="DF49" s="99"/>
      <c r="DG49" s="99"/>
      <c r="DH49" s="99"/>
      <c r="DI49" s="99"/>
      <c r="DJ49" s="99"/>
      <c r="DK49" s="99"/>
      <c r="DL49" s="99"/>
      <c r="DM49" s="99"/>
      <c r="DN49" s="99"/>
      <c r="DO49" s="99"/>
      <c r="DP49" s="99"/>
      <c r="DQ49" s="99"/>
      <c r="DR49" s="99"/>
      <c r="DS49" s="99"/>
      <c r="DT49" s="99"/>
      <c r="DU49" s="99"/>
      <c r="DV49" s="99"/>
      <c r="DW49" s="99"/>
      <c r="DX49" s="99"/>
      <c r="DY49" s="99"/>
      <c r="DZ49" s="99"/>
      <c r="EA49" s="99"/>
      <c r="EB49" s="99"/>
      <c r="EC49" s="99"/>
      <c r="ED49" s="99"/>
      <c r="EE49" s="99"/>
      <c r="EF49" s="99"/>
      <c r="EG49" s="99"/>
      <c r="EH49" s="99"/>
      <c r="EI49" s="99"/>
      <c r="EJ49" s="99"/>
      <c r="EK49" s="99"/>
      <c r="EL49" s="99"/>
      <c r="EM49" s="99"/>
      <c r="EN49" s="99"/>
      <c r="EO49" s="99"/>
      <c r="EP49" s="99"/>
      <c r="EQ49" s="99"/>
      <c r="ER49" s="99"/>
      <c r="ES49" s="99"/>
      <c r="ET49" s="99"/>
      <c r="EU49" s="99"/>
      <c r="EV49" s="99"/>
      <c r="EW49" s="99"/>
      <c r="EX49" s="99"/>
      <c r="EY49" s="99"/>
      <c r="EZ49" s="99"/>
      <c r="FA49" s="99"/>
      <c r="FB49" s="99"/>
      <c r="FC49" s="99"/>
      <c r="FD49" s="99"/>
      <c r="FE49" s="99"/>
      <c r="FF49" s="99"/>
      <c r="FG49" s="99"/>
      <c r="FH49" s="99"/>
      <c r="FI49" s="99"/>
      <c r="FJ49" s="99"/>
      <c r="FK49" s="99"/>
      <c r="FL49" s="99"/>
      <c r="FM49" s="99"/>
      <c r="FN49" s="99"/>
      <c r="FO49" s="99"/>
      <c r="FP49" s="99"/>
      <c r="FQ49" s="99"/>
      <c r="FR49" s="99"/>
      <c r="FS49" s="99"/>
      <c r="FT49" s="99"/>
      <c r="FU49" s="99"/>
      <c r="FV49" s="99"/>
      <c r="FW49" s="99"/>
      <c r="FX49" s="99"/>
      <c r="FY49" s="99"/>
      <c r="FZ49" s="99"/>
      <c r="GA49" s="99"/>
      <c r="GB49" s="99"/>
      <c r="GC49" s="99"/>
      <c r="GD49" s="99"/>
      <c r="GE49" s="99"/>
      <c r="GF49" s="99"/>
      <c r="GG49" s="99"/>
      <c r="GH49" s="99"/>
      <c r="GI49" s="99"/>
      <c r="GJ49" s="99"/>
      <c r="GK49" s="99"/>
      <c r="GL49" s="99"/>
      <c r="GM49" s="99"/>
      <c r="GN49" s="99"/>
      <c r="GO49" s="99"/>
      <c r="GP49" s="99"/>
      <c r="GQ49" s="99"/>
      <c r="GR49" s="99"/>
      <c r="GS49" s="99"/>
      <c r="GT49" s="99"/>
      <c r="GU49" s="99"/>
      <c r="GV49" s="99"/>
      <c r="GW49" s="99"/>
      <c r="GX49" s="99"/>
      <c r="GY49" s="99"/>
      <c r="GZ49" s="99"/>
      <c r="HA49" s="99"/>
      <c r="HB49" s="99"/>
      <c r="HC49" s="99"/>
      <c r="HD49" s="99"/>
      <c r="HE49" s="99"/>
      <c r="HF49" s="99"/>
      <c r="HG49" s="99"/>
      <c r="HH49" s="99"/>
      <c r="HI49" s="99"/>
      <c r="HJ49" s="99"/>
      <c r="HK49" s="99"/>
      <c r="HL49" s="99"/>
      <c r="HM49" s="99"/>
      <c r="HN49" s="99"/>
      <c r="HO49" s="99"/>
      <c r="HP49" s="99"/>
      <c r="HQ49" s="99"/>
      <c r="HR49" s="99"/>
      <c r="HS49" s="99"/>
      <c r="HT49" s="99"/>
      <c r="HU49" s="99"/>
      <c r="HV49" s="99"/>
      <c r="HW49" s="99"/>
      <c r="HX49" s="99"/>
      <c r="HY49" s="99"/>
      <c r="HZ49" s="99"/>
      <c r="IA49" s="99"/>
      <c r="IB49" s="99"/>
      <c r="IC49" s="99"/>
      <c r="ID49" s="99"/>
      <c r="IE49" s="99"/>
      <c r="IF49" s="99"/>
      <c r="IG49" s="99"/>
      <c r="IH49" s="99"/>
      <c r="II49" s="99"/>
      <c r="IJ49" s="99"/>
      <c r="IT49" s="112"/>
    </row>
    <row r="50" spans="1:254">
      <c r="B50" s="186" t="s">
        <v>179</v>
      </c>
      <c r="C50" s="295" t="s">
        <v>307</v>
      </c>
      <c r="D50" s="136" t="s">
        <v>141</v>
      </c>
      <c r="E50" s="159">
        <v>0.01</v>
      </c>
      <c r="F50" s="136"/>
      <c r="G50" s="266" t="s">
        <v>264</v>
      </c>
      <c r="H50" s="159">
        <v>0.01</v>
      </c>
      <c r="I50" s="266" t="s">
        <v>264</v>
      </c>
      <c r="J50" s="159">
        <v>0.01</v>
      </c>
      <c r="K50" s="266"/>
      <c r="L50" s="159"/>
      <c r="M50" s="266"/>
      <c r="N50" s="159"/>
      <c r="O50" s="144">
        <f>(0.62*4+1.9*4)/1000</f>
        <v>1.008E-2</v>
      </c>
      <c r="P50" s="144"/>
      <c r="Q50" s="144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  <c r="BO50" s="99"/>
      <c r="BP50" s="99"/>
      <c r="BQ50" s="99"/>
      <c r="BR50" s="99"/>
      <c r="BS50" s="99"/>
      <c r="BT50" s="99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99"/>
      <c r="CF50" s="99"/>
      <c r="CG50" s="99"/>
      <c r="CH50" s="99"/>
      <c r="CI50" s="99"/>
      <c r="CJ50" s="99"/>
      <c r="CK50" s="99"/>
      <c r="CL50" s="99"/>
      <c r="CM50" s="99"/>
      <c r="CN50" s="99"/>
      <c r="CO50" s="99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99"/>
      <c r="DN50" s="99"/>
      <c r="DO50" s="99"/>
      <c r="DP50" s="99"/>
      <c r="DQ50" s="99"/>
      <c r="DR50" s="99"/>
      <c r="DS50" s="99"/>
      <c r="DT50" s="99"/>
      <c r="DU50" s="99"/>
      <c r="DV50" s="99"/>
      <c r="DW50" s="99"/>
      <c r="DX50" s="99"/>
      <c r="DY50" s="99"/>
      <c r="DZ50" s="99"/>
      <c r="EA50" s="99"/>
      <c r="EB50" s="99"/>
      <c r="EC50" s="99"/>
      <c r="ED50" s="99"/>
      <c r="EE50" s="99"/>
      <c r="EF50" s="99"/>
      <c r="EG50" s="99"/>
      <c r="EH50" s="99"/>
      <c r="EI50" s="99"/>
      <c r="EJ50" s="99"/>
      <c r="EK50" s="99"/>
      <c r="EL50" s="99"/>
      <c r="EM50" s="99"/>
      <c r="EN50" s="99"/>
      <c r="EO50" s="99"/>
      <c r="EP50" s="99"/>
      <c r="EQ50" s="99"/>
      <c r="ER50" s="99"/>
      <c r="ES50" s="99"/>
      <c r="ET50" s="99"/>
      <c r="EU50" s="99"/>
      <c r="EV50" s="99"/>
      <c r="EW50" s="99"/>
      <c r="EX50" s="99"/>
      <c r="EY50" s="99"/>
      <c r="EZ50" s="99"/>
      <c r="FA50" s="99"/>
      <c r="FB50" s="99"/>
      <c r="FC50" s="99"/>
      <c r="FD50" s="99"/>
      <c r="FE50" s="99"/>
      <c r="FF50" s="99"/>
      <c r="FG50" s="99"/>
      <c r="FH50" s="99"/>
      <c r="FI50" s="99"/>
      <c r="FJ50" s="99"/>
      <c r="FK50" s="99"/>
      <c r="FL50" s="99"/>
      <c r="FM50" s="99"/>
      <c r="FN50" s="99"/>
      <c r="FO50" s="99"/>
      <c r="FP50" s="99"/>
      <c r="FQ50" s="99"/>
      <c r="FR50" s="99"/>
      <c r="FS50" s="99"/>
      <c r="FT50" s="99"/>
      <c r="FU50" s="99"/>
      <c r="FV50" s="99"/>
      <c r="FW50" s="99"/>
      <c r="FX50" s="99"/>
      <c r="FY50" s="99"/>
      <c r="FZ50" s="99"/>
      <c r="GA50" s="99"/>
      <c r="GB50" s="99"/>
      <c r="GC50" s="99"/>
      <c r="GD50" s="99"/>
      <c r="GE50" s="99"/>
      <c r="GF50" s="99"/>
      <c r="GG50" s="99"/>
      <c r="GH50" s="99"/>
      <c r="GI50" s="99"/>
      <c r="GJ50" s="99"/>
      <c r="GK50" s="99"/>
      <c r="GL50" s="99"/>
      <c r="GM50" s="99"/>
      <c r="GN50" s="99"/>
      <c r="GO50" s="99"/>
      <c r="GP50" s="99"/>
      <c r="GQ50" s="99"/>
      <c r="GR50" s="99"/>
      <c r="GS50" s="99"/>
      <c r="GT50" s="99"/>
      <c r="GU50" s="99"/>
      <c r="GV50" s="99"/>
      <c r="GW50" s="99"/>
      <c r="GX50" s="99"/>
      <c r="GY50" s="99"/>
      <c r="GZ50" s="99"/>
      <c r="HA50" s="99"/>
      <c r="HB50" s="99"/>
      <c r="HC50" s="99"/>
      <c r="HD50" s="99"/>
      <c r="HE50" s="99"/>
      <c r="HF50" s="99"/>
      <c r="HG50" s="99"/>
      <c r="HH50" s="99"/>
      <c r="HI50" s="99"/>
      <c r="HJ50" s="99"/>
      <c r="HK50" s="99"/>
      <c r="HL50" s="99"/>
      <c r="HM50" s="99"/>
      <c r="HN50" s="99"/>
      <c r="HO50" s="99"/>
      <c r="HP50" s="99"/>
      <c r="HQ50" s="99"/>
      <c r="HR50" s="99"/>
      <c r="HS50" s="99"/>
      <c r="HT50" s="99"/>
      <c r="HU50" s="99"/>
      <c r="HV50" s="99"/>
      <c r="HW50" s="99"/>
      <c r="HX50" s="99"/>
      <c r="HY50" s="99"/>
      <c r="HZ50" s="99"/>
      <c r="IA50" s="99"/>
      <c r="IB50" s="99"/>
      <c r="IC50" s="99"/>
      <c r="ID50" s="99"/>
      <c r="IE50" s="99"/>
      <c r="IF50" s="99"/>
      <c r="IG50" s="99"/>
      <c r="IH50" s="99"/>
      <c r="II50" s="99"/>
      <c r="IJ50" s="99"/>
      <c r="IT50" s="112"/>
    </row>
    <row r="51" spans="1:254" ht="32.25" thickBot="1">
      <c r="B51" s="242"/>
      <c r="C51" s="291" t="s">
        <v>241</v>
      </c>
      <c r="D51" s="243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128"/>
      <c r="P51" s="128"/>
      <c r="Q51" s="125"/>
      <c r="R51" s="125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99"/>
      <c r="CF51" s="99"/>
      <c r="CG51" s="99"/>
      <c r="CH51" s="99"/>
      <c r="CI51" s="99"/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99"/>
      <c r="DE51" s="99"/>
      <c r="DF51" s="99"/>
      <c r="DG51" s="99"/>
      <c r="DH51" s="99"/>
      <c r="DI51" s="99"/>
      <c r="DJ51" s="99"/>
      <c r="DK51" s="99"/>
      <c r="DL51" s="99"/>
      <c r="DM51" s="99"/>
      <c r="DN51" s="99"/>
      <c r="DO51" s="99"/>
      <c r="DP51" s="99"/>
      <c r="DQ51" s="99"/>
      <c r="DR51" s="99"/>
      <c r="DS51" s="99"/>
      <c r="DT51" s="99"/>
      <c r="DU51" s="99"/>
      <c r="DV51" s="99"/>
      <c r="DW51" s="99"/>
      <c r="DX51" s="99"/>
      <c r="DY51" s="99"/>
      <c r="DZ51" s="99"/>
      <c r="EA51" s="99"/>
      <c r="EB51" s="99"/>
      <c r="EC51" s="99"/>
      <c r="ED51" s="99"/>
      <c r="EE51" s="99"/>
      <c r="EF51" s="99"/>
      <c r="EG51" s="99"/>
      <c r="EH51" s="99"/>
      <c r="EI51" s="99"/>
      <c r="EJ51" s="99"/>
      <c r="EK51" s="99"/>
      <c r="EL51" s="99"/>
      <c r="EM51" s="99"/>
      <c r="EN51" s="99"/>
      <c r="EO51" s="99"/>
      <c r="EP51" s="99"/>
      <c r="EQ51" s="99"/>
      <c r="ER51" s="99"/>
      <c r="ES51" s="99"/>
      <c r="ET51" s="99"/>
      <c r="EU51" s="99"/>
      <c r="EV51" s="99"/>
      <c r="EW51" s="99"/>
      <c r="EX51" s="99"/>
      <c r="EY51" s="99"/>
      <c r="EZ51" s="99"/>
      <c r="FA51" s="99"/>
      <c r="FB51" s="99"/>
      <c r="FC51" s="99"/>
      <c r="FD51" s="99"/>
      <c r="FE51" s="99"/>
      <c r="FF51" s="99"/>
      <c r="FG51" s="99"/>
      <c r="FH51" s="99"/>
      <c r="FI51" s="99"/>
      <c r="FJ51" s="99"/>
      <c r="FK51" s="99"/>
      <c r="FL51" s="99"/>
      <c r="FM51" s="99"/>
      <c r="FN51" s="99"/>
      <c r="FO51" s="99"/>
      <c r="FP51" s="99"/>
      <c r="FQ51" s="99"/>
      <c r="FR51" s="99"/>
      <c r="FS51" s="99"/>
      <c r="FT51" s="99"/>
      <c r="FU51" s="99"/>
      <c r="FV51" s="99"/>
      <c r="FW51" s="99"/>
      <c r="FX51" s="99"/>
      <c r="FY51" s="99"/>
      <c r="FZ51" s="99"/>
      <c r="GA51" s="99"/>
      <c r="GB51" s="99"/>
      <c r="GC51" s="99"/>
      <c r="GD51" s="99"/>
      <c r="GE51" s="99"/>
      <c r="GF51" s="99"/>
      <c r="GG51" s="99"/>
      <c r="GH51" s="99"/>
      <c r="GI51" s="99"/>
      <c r="GJ51" s="99"/>
      <c r="GK51" s="99"/>
      <c r="GL51" s="99"/>
      <c r="GM51" s="99"/>
      <c r="GN51" s="99"/>
      <c r="GO51" s="99"/>
      <c r="GP51" s="99"/>
      <c r="GQ51" s="99"/>
      <c r="GR51" s="99"/>
      <c r="GS51" s="99"/>
      <c r="GT51" s="99"/>
      <c r="GU51" s="99"/>
      <c r="GV51" s="99"/>
      <c r="GW51" s="99"/>
      <c r="GX51" s="99"/>
      <c r="GY51" s="99"/>
      <c r="GZ51" s="99"/>
      <c r="HA51" s="99"/>
      <c r="HB51" s="99"/>
      <c r="HC51" s="99"/>
      <c r="HD51" s="99"/>
      <c r="HE51" s="99"/>
      <c r="HF51" s="99"/>
      <c r="HG51" s="99"/>
      <c r="HH51" s="99"/>
      <c r="HI51" s="99"/>
      <c r="HJ51" s="99"/>
      <c r="HK51" s="99"/>
      <c r="HL51" s="99"/>
      <c r="HM51" s="99"/>
      <c r="HN51" s="99"/>
      <c r="HO51" s="99"/>
      <c r="HP51" s="99"/>
      <c r="HQ51" s="99"/>
      <c r="HR51" s="99"/>
      <c r="HS51" s="99"/>
      <c r="HT51" s="99"/>
      <c r="HU51" s="99"/>
      <c r="HV51" s="99"/>
      <c r="HW51" s="99"/>
      <c r="HX51" s="99"/>
      <c r="HY51" s="99"/>
      <c r="HZ51" s="99"/>
      <c r="IA51" s="99"/>
      <c r="IB51" s="99"/>
      <c r="IC51" s="99"/>
      <c r="ID51" s="99"/>
      <c r="IE51" s="99"/>
      <c r="IF51" s="99"/>
      <c r="IG51" s="99"/>
      <c r="IH51" s="99"/>
      <c r="II51" s="99"/>
      <c r="IJ51" s="99"/>
      <c r="IT51" s="112"/>
    </row>
    <row r="52" spans="1:254" ht="18.75">
      <c r="B52" s="255" t="s">
        <v>136</v>
      </c>
      <c r="C52" s="292" t="s">
        <v>234</v>
      </c>
      <c r="D52" s="155" t="s">
        <v>560</v>
      </c>
      <c r="E52" s="259">
        <v>0.32</v>
      </c>
      <c r="F52" s="156"/>
      <c r="G52" s="273" t="s">
        <v>264</v>
      </c>
      <c r="H52" s="259">
        <v>0.32</v>
      </c>
      <c r="I52" s="273" t="s">
        <v>264</v>
      </c>
      <c r="J52" s="259">
        <v>0.32</v>
      </c>
      <c r="K52" s="273"/>
      <c r="L52" s="259"/>
      <c r="M52" s="273"/>
      <c r="N52" s="259"/>
      <c r="O52" s="144">
        <f>0.1*1.7*1.7</f>
        <v>0.28900000000000003</v>
      </c>
      <c r="P52" s="144">
        <v>0.32</v>
      </c>
      <c r="Q52" s="144">
        <f>P52-H52</f>
        <v>0</v>
      </c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  <c r="CM52" s="99"/>
      <c r="CN52" s="99"/>
      <c r="CO52" s="99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99"/>
      <c r="DA52" s="99"/>
      <c r="DB52" s="99"/>
      <c r="DC52" s="99"/>
      <c r="DD52" s="99"/>
      <c r="DE52" s="99"/>
      <c r="DF52" s="99"/>
      <c r="DG52" s="99"/>
      <c r="DH52" s="99"/>
      <c r="DI52" s="99"/>
      <c r="DJ52" s="99"/>
      <c r="DK52" s="99"/>
      <c r="DL52" s="99"/>
      <c r="DM52" s="99"/>
      <c r="DN52" s="99"/>
      <c r="DO52" s="99"/>
      <c r="DP52" s="99"/>
      <c r="DQ52" s="99"/>
      <c r="DR52" s="99"/>
      <c r="DS52" s="99"/>
      <c r="DT52" s="99"/>
      <c r="DU52" s="99"/>
      <c r="DV52" s="99"/>
      <c r="DW52" s="99"/>
      <c r="DX52" s="99"/>
      <c r="DY52" s="99"/>
      <c r="DZ52" s="99"/>
      <c r="EA52" s="99"/>
      <c r="EB52" s="99"/>
      <c r="EC52" s="99"/>
      <c r="ED52" s="99"/>
      <c r="EE52" s="99"/>
      <c r="EF52" s="99"/>
      <c r="EG52" s="99"/>
      <c r="EH52" s="99"/>
      <c r="EI52" s="99"/>
      <c r="EJ52" s="99"/>
      <c r="EK52" s="99"/>
      <c r="EL52" s="99"/>
      <c r="EM52" s="99"/>
      <c r="EN52" s="99"/>
      <c r="EO52" s="99"/>
      <c r="EP52" s="99"/>
      <c r="EQ52" s="99"/>
      <c r="ER52" s="99"/>
      <c r="ES52" s="99"/>
      <c r="ET52" s="99"/>
      <c r="EU52" s="99"/>
      <c r="EV52" s="99"/>
      <c r="EW52" s="99"/>
      <c r="EX52" s="99"/>
      <c r="EY52" s="99"/>
      <c r="EZ52" s="99"/>
      <c r="FA52" s="99"/>
      <c r="FB52" s="99"/>
      <c r="FC52" s="99"/>
      <c r="FD52" s="99"/>
      <c r="FE52" s="99"/>
      <c r="FF52" s="99"/>
      <c r="FG52" s="99"/>
      <c r="FH52" s="99"/>
      <c r="FI52" s="99"/>
      <c r="FJ52" s="99"/>
      <c r="FK52" s="99"/>
      <c r="FL52" s="99"/>
      <c r="FM52" s="99"/>
      <c r="FN52" s="99"/>
      <c r="FO52" s="99"/>
      <c r="FP52" s="99"/>
      <c r="FQ52" s="99"/>
      <c r="FR52" s="99"/>
      <c r="FS52" s="99"/>
      <c r="FT52" s="99"/>
      <c r="FU52" s="99"/>
      <c r="FV52" s="99"/>
      <c r="FW52" s="99"/>
      <c r="FX52" s="99"/>
      <c r="FY52" s="99"/>
      <c r="FZ52" s="99"/>
      <c r="GA52" s="99"/>
      <c r="GB52" s="99"/>
      <c r="GC52" s="99"/>
      <c r="GD52" s="99"/>
      <c r="GE52" s="99"/>
      <c r="GF52" s="99"/>
      <c r="GG52" s="99"/>
      <c r="GH52" s="99"/>
      <c r="GI52" s="99"/>
      <c r="GJ52" s="99"/>
      <c r="GK52" s="99"/>
      <c r="GL52" s="99"/>
      <c r="GM52" s="99"/>
      <c r="GN52" s="99"/>
      <c r="GO52" s="99"/>
      <c r="GP52" s="99"/>
      <c r="GQ52" s="99"/>
      <c r="GR52" s="99"/>
      <c r="GS52" s="99"/>
      <c r="GT52" s="99"/>
      <c r="GU52" s="99"/>
      <c r="GV52" s="99"/>
      <c r="GW52" s="99"/>
      <c r="GX52" s="99"/>
      <c r="GY52" s="99"/>
      <c r="GZ52" s="99"/>
      <c r="HA52" s="99"/>
      <c r="HB52" s="99"/>
      <c r="HC52" s="99"/>
      <c r="HD52" s="99"/>
      <c r="HE52" s="99"/>
      <c r="HF52" s="99"/>
      <c r="HG52" s="99"/>
      <c r="HH52" s="99"/>
      <c r="HI52" s="99"/>
      <c r="HJ52" s="99"/>
      <c r="HK52" s="99"/>
      <c r="HL52" s="99"/>
      <c r="HM52" s="99"/>
      <c r="HN52" s="99"/>
      <c r="HO52" s="99"/>
      <c r="HP52" s="99"/>
      <c r="HQ52" s="99"/>
      <c r="HR52" s="99"/>
      <c r="HS52" s="99"/>
      <c r="HT52" s="99"/>
      <c r="HU52" s="99"/>
      <c r="HV52" s="99"/>
      <c r="HW52" s="99"/>
      <c r="HX52" s="99"/>
      <c r="HY52" s="99"/>
      <c r="HZ52" s="99"/>
      <c r="IA52" s="99"/>
      <c r="IB52" s="99"/>
      <c r="IC52" s="99"/>
      <c r="ID52" s="99"/>
      <c r="IE52" s="99"/>
      <c r="IF52" s="99"/>
      <c r="IG52" s="99"/>
      <c r="IH52" s="99"/>
      <c r="II52" s="99"/>
      <c r="IJ52" s="99"/>
    </row>
    <row r="53" spans="1:254" ht="34.5">
      <c r="B53" s="207" t="s">
        <v>137</v>
      </c>
      <c r="C53" s="285" t="s">
        <v>312</v>
      </c>
      <c r="D53" s="137" t="s">
        <v>560</v>
      </c>
      <c r="E53" s="230">
        <v>3.07</v>
      </c>
      <c r="F53" s="158"/>
      <c r="G53" s="138" t="s">
        <v>264</v>
      </c>
      <c r="H53" s="230">
        <v>3.07</v>
      </c>
      <c r="I53" s="138" t="s">
        <v>264</v>
      </c>
      <c r="J53" s="230">
        <v>3.07</v>
      </c>
      <c r="K53" s="138"/>
      <c r="L53" s="230"/>
      <c r="M53" s="138"/>
      <c r="N53" s="230"/>
      <c r="O53" s="144">
        <f>1.5*1.5*0.6</f>
        <v>1.3499999999999999</v>
      </c>
      <c r="P53" s="144">
        <v>3.07</v>
      </c>
      <c r="Q53" s="144">
        <f>P53-H53</f>
        <v>0</v>
      </c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99"/>
      <c r="CH53" s="99"/>
      <c r="CI53" s="99"/>
      <c r="CJ53" s="99"/>
      <c r="CK53" s="99"/>
      <c r="CL53" s="99"/>
      <c r="CM53" s="99"/>
      <c r="CN53" s="99"/>
      <c r="CO53" s="99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99"/>
      <c r="DA53" s="99"/>
      <c r="DB53" s="99"/>
      <c r="DC53" s="99"/>
      <c r="DD53" s="99"/>
      <c r="DE53" s="99"/>
      <c r="DF53" s="99"/>
      <c r="DG53" s="99"/>
      <c r="DH53" s="99"/>
      <c r="DI53" s="99"/>
      <c r="DJ53" s="99"/>
      <c r="DK53" s="99"/>
      <c r="DL53" s="99"/>
      <c r="DM53" s="99"/>
      <c r="DN53" s="99"/>
      <c r="DO53" s="99"/>
      <c r="DP53" s="99"/>
      <c r="DQ53" s="99"/>
      <c r="DR53" s="99"/>
      <c r="DS53" s="99"/>
      <c r="DT53" s="99"/>
      <c r="DU53" s="99"/>
      <c r="DV53" s="99"/>
      <c r="DW53" s="99"/>
      <c r="DX53" s="99"/>
      <c r="DY53" s="99"/>
      <c r="DZ53" s="99"/>
      <c r="EA53" s="99"/>
      <c r="EB53" s="99"/>
      <c r="EC53" s="99"/>
      <c r="ED53" s="99"/>
      <c r="EE53" s="99"/>
      <c r="EF53" s="99"/>
      <c r="EG53" s="99"/>
      <c r="EH53" s="99"/>
      <c r="EI53" s="99"/>
      <c r="EJ53" s="99"/>
      <c r="EK53" s="99"/>
      <c r="EL53" s="99"/>
      <c r="EM53" s="99"/>
      <c r="EN53" s="99"/>
      <c r="EO53" s="99"/>
      <c r="EP53" s="99"/>
      <c r="EQ53" s="99"/>
      <c r="ER53" s="99"/>
      <c r="ES53" s="99"/>
      <c r="ET53" s="99"/>
      <c r="EU53" s="99"/>
      <c r="EV53" s="99"/>
      <c r="EW53" s="99"/>
      <c r="EX53" s="99"/>
      <c r="EY53" s="99"/>
      <c r="EZ53" s="99"/>
      <c r="FA53" s="99"/>
      <c r="FB53" s="99"/>
      <c r="FC53" s="99"/>
      <c r="FD53" s="99"/>
      <c r="FE53" s="99"/>
      <c r="FF53" s="99"/>
      <c r="FG53" s="99"/>
      <c r="FH53" s="99"/>
      <c r="FI53" s="99"/>
      <c r="FJ53" s="99"/>
      <c r="FK53" s="99"/>
      <c r="FL53" s="99"/>
      <c r="FM53" s="99"/>
      <c r="FN53" s="99"/>
      <c r="FO53" s="99"/>
      <c r="FP53" s="99"/>
      <c r="FQ53" s="99"/>
      <c r="FR53" s="99"/>
      <c r="FS53" s="99"/>
      <c r="FT53" s="99"/>
      <c r="FU53" s="99"/>
      <c r="FV53" s="99"/>
      <c r="FW53" s="99"/>
      <c r="FX53" s="99"/>
      <c r="FY53" s="99"/>
      <c r="FZ53" s="99"/>
      <c r="GA53" s="99"/>
      <c r="GB53" s="99"/>
      <c r="GC53" s="99"/>
      <c r="GD53" s="99"/>
      <c r="GE53" s="99"/>
      <c r="GF53" s="99"/>
      <c r="GG53" s="99"/>
      <c r="GH53" s="99"/>
      <c r="GI53" s="99"/>
      <c r="GJ53" s="99"/>
      <c r="GK53" s="99"/>
      <c r="GL53" s="99"/>
      <c r="GM53" s="99"/>
      <c r="GN53" s="99"/>
      <c r="GO53" s="99"/>
      <c r="GP53" s="99"/>
      <c r="GQ53" s="99"/>
      <c r="GR53" s="99"/>
      <c r="GS53" s="99"/>
      <c r="GT53" s="99"/>
      <c r="GU53" s="99"/>
      <c r="GV53" s="99"/>
      <c r="GW53" s="99"/>
      <c r="GX53" s="99"/>
      <c r="GY53" s="99"/>
      <c r="GZ53" s="99"/>
      <c r="HA53" s="99"/>
      <c r="HB53" s="99"/>
      <c r="HC53" s="99"/>
      <c r="HD53" s="99"/>
      <c r="HE53" s="99"/>
      <c r="HF53" s="99"/>
      <c r="HG53" s="99"/>
      <c r="HH53" s="99"/>
      <c r="HI53" s="99"/>
      <c r="HJ53" s="99"/>
      <c r="HK53" s="99"/>
      <c r="HL53" s="99"/>
      <c r="HM53" s="99"/>
      <c r="HN53" s="99"/>
      <c r="HO53" s="99"/>
      <c r="HP53" s="99"/>
      <c r="HQ53" s="99"/>
      <c r="HR53" s="99"/>
      <c r="HS53" s="99"/>
      <c r="HT53" s="99"/>
      <c r="HU53" s="99"/>
      <c r="HV53" s="99"/>
      <c r="HW53" s="99"/>
      <c r="HX53" s="99"/>
      <c r="HY53" s="99"/>
      <c r="HZ53" s="99"/>
      <c r="IA53" s="99"/>
      <c r="IB53" s="99"/>
      <c r="IC53" s="99"/>
      <c r="ID53" s="99"/>
      <c r="IE53" s="99"/>
      <c r="IF53" s="99"/>
      <c r="IG53" s="99"/>
      <c r="IH53" s="99"/>
      <c r="II53" s="99"/>
      <c r="IJ53" s="99"/>
      <c r="IT53" s="112"/>
    </row>
    <row r="54" spans="1:254" ht="31.5">
      <c r="B54" s="186" t="s">
        <v>138</v>
      </c>
      <c r="C54" s="293" t="s">
        <v>315</v>
      </c>
      <c r="D54" s="136" t="s">
        <v>141</v>
      </c>
      <c r="E54" s="223">
        <v>0.15</v>
      </c>
      <c r="F54" s="160"/>
      <c r="G54" s="159" t="s">
        <v>264</v>
      </c>
      <c r="H54" s="223">
        <v>0.15</v>
      </c>
      <c r="I54" s="159" t="s">
        <v>264</v>
      </c>
      <c r="J54" s="223">
        <v>0.15</v>
      </c>
      <c r="K54" s="159"/>
      <c r="L54" s="223"/>
      <c r="M54" s="159"/>
      <c r="N54" s="223"/>
      <c r="O54" s="144">
        <f>149.6/1000</f>
        <v>0.14959999999999998</v>
      </c>
      <c r="P54" s="144"/>
      <c r="Q54" s="144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  <c r="BO54" s="99"/>
      <c r="BP54" s="99"/>
      <c r="BQ54" s="99"/>
      <c r="BR54" s="99"/>
      <c r="BS54" s="99"/>
      <c r="BT54" s="99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99"/>
      <c r="CF54" s="99"/>
      <c r="CG54" s="99"/>
      <c r="CH54" s="99"/>
      <c r="CI54" s="99"/>
      <c r="CJ54" s="99"/>
      <c r="CK54" s="99"/>
      <c r="CL54" s="99"/>
      <c r="CM54" s="99"/>
      <c r="CN54" s="99"/>
      <c r="CO54" s="99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99"/>
      <c r="DA54" s="99"/>
      <c r="DB54" s="99"/>
      <c r="DC54" s="99"/>
      <c r="DD54" s="99"/>
      <c r="DE54" s="99"/>
      <c r="DF54" s="99"/>
      <c r="DG54" s="99"/>
      <c r="DH54" s="99"/>
      <c r="DI54" s="99"/>
      <c r="DJ54" s="99"/>
      <c r="DK54" s="99"/>
      <c r="DL54" s="99"/>
      <c r="DM54" s="99"/>
      <c r="DN54" s="99"/>
      <c r="DO54" s="99"/>
      <c r="DP54" s="99"/>
      <c r="DQ54" s="99"/>
      <c r="DR54" s="99"/>
      <c r="DS54" s="99"/>
      <c r="DT54" s="99"/>
      <c r="DU54" s="99"/>
      <c r="DV54" s="99"/>
      <c r="DW54" s="99"/>
      <c r="DX54" s="99"/>
      <c r="DY54" s="99"/>
      <c r="DZ54" s="99"/>
      <c r="EA54" s="99"/>
      <c r="EB54" s="99"/>
      <c r="EC54" s="99"/>
      <c r="ED54" s="99"/>
      <c r="EE54" s="99"/>
      <c r="EF54" s="99"/>
      <c r="EG54" s="99"/>
      <c r="EH54" s="99"/>
      <c r="EI54" s="99"/>
      <c r="EJ54" s="99"/>
      <c r="EK54" s="99"/>
      <c r="EL54" s="99"/>
      <c r="EM54" s="99"/>
      <c r="EN54" s="99"/>
      <c r="EO54" s="99"/>
      <c r="EP54" s="99"/>
      <c r="EQ54" s="99"/>
      <c r="ER54" s="99"/>
      <c r="ES54" s="99"/>
      <c r="ET54" s="99"/>
      <c r="EU54" s="99"/>
      <c r="EV54" s="99"/>
      <c r="EW54" s="99"/>
      <c r="EX54" s="99"/>
      <c r="EY54" s="99"/>
      <c r="EZ54" s="99"/>
      <c r="FA54" s="99"/>
      <c r="FB54" s="99"/>
      <c r="FC54" s="99"/>
      <c r="FD54" s="99"/>
      <c r="FE54" s="99"/>
      <c r="FF54" s="99"/>
      <c r="FG54" s="99"/>
      <c r="FH54" s="99"/>
      <c r="FI54" s="99"/>
      <c r="FJ54" s="99"/>
      <c r="FK54" s="99"/>
      <c r="FL54" s="99"/>
      <c r="FM54" s="99"/>
      <c r="FN54" s="99"/>
      <c r="FO54" s="99"/>
      <c r="FP54" s="99"/>
      <c r="FQ54" s="99"/>
      <c r="FR54" s="99"/>
      <c r="FS54" s="99"/>
      <c r="FT54" s="99"/>
      <c r="FU54" s="99"/>
      <c r="FV54" s="99"/>
      <c r="FW54" s="99"/>
      <c r="FX54" s="99"/>
      <c r="FY54" s="99"/>
      <c r="FZ54" s="99"/>
      <c r="GA54" s="99"/>
      <c r="GB54" s="99"/>
      <c r="GC54" s="99"/>
      <c r="GD54" s="99"/>
      <c r="GE54" s="99"/>
      <c r="GF54" s="99"/>
      <c r="GG54" s="99"/>
      <c r="GH54" s="99"/>
      <c r="GI54" s="99"/>
      <c r="GJ54" s="99"/>
      <c r="GK54" s="99"/>
      <c r="GL54" s="99"/>
      <c r="GM54" s="99"/>
      <c r="GN54" s="99"/>
      <c r="GO54" s="99"/>
      <c r="GP54" s="99"/>
      <c r="GQ54" s="99"/>
      <c r="GR54" s="99"/>
      <c r="GS54" s="99"/>
      <c r="GT54" s="99"/>
      <c r="GU54" s="99"/>
      <c r="GV54" s="99"/>
      <c r="GW54" s="99"/>
      <c r="GX54" s="99"/>
      <c r="GY54" s="99"/>
      <c r="GZ54" s="99"/>
      <c r="HA54" s="99"/>
      <c r="HB54" s="99"/>
      <c r="HC54" s="99"/>
      <c r="HD54" s="99"/>
      <c r="HE54" s="99"/>
      <c r="HF54" s="99"/>
      <c r="HG54" s="99"/>
      <c r="HH54" s="99"/>
      <c r="HI54" s="99"/>
      <c r="HJ54" s="99"/>
      <c r="HK54" s="99"/>
      <c r="HL54" s="99"/>
      <c r="HM54" s="99"/>
      <c r="HN54" s="99"/>
      <c r="HO54" s="99"/>
      <c r="HP54" s="99"/>
      <c r="HQ54" s="99"/>
      <c r="HR54" s="99"/>
      <c r="HS54" s="99"/>
      <c r="HT54" s="99"/>
      <c r="HU54" s="99"/>
      <c r="HV54" s="99"/>
      <c r="HW54" s="99"/>
      <c r="HX54" s="99"/>
      <c r="HY54" s="99"/>
      <c r="HZ54" s="99"/>
      <c r="IA54" s="99"/>
      <c r="IB54" s="99"/>
      <c r="IC54" s="99"/>
      <c r="ID54" s="99"/>
      <c r="IE54" s="99"/>
      <c r="IF54" s="99"/>
      <c r="IG54" s="99"/>
      <c r="IH54" s="99"/>
      <c r="II54" s="99"/>
      <c r="IJ54" s="99"/>
      <c r="IT54" s="112"/>
    </row>
    <row r="55" spans="1:254" ht="47.25">
      <c r="B55" s="213" t="s">
        <v>139</v>
      </c>
      <c r="C55" s="292" t="s">
        <v>373</v>
      </c>
      <c r="D55" s="155" t="s">
        <v>141</v>
      </c>
      <c r="E55" s="259">
        <v>2E-3</v>
      </c>
      <c r="F55" s="161"/>
      <c r="G55" s="211" t="s">
        <v>264</v>
      </c>
      <c r="H55" s="259">
        <v>2E-3</v>
      </c>
      <c r="I55" s="211" t="s">
        <v>264</v>
      </c>
      <c r="J55" s="259">
        <v>2E-3</v>
      </c>
      <c r="K55" s="211"/>
      <c r="L55" s="259"/>
      <c r="M55" s="211"/>
      <c r="N55" s="259"/>
      <c r="O55" s="144">
        <f>12/1000</f>
        <v>1.2E-2</v>
      </c>
      <c r="P55" s="144"/>
      <c r="Q55" s="144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  <c r="BO55" s="99"/>
      <c r="BP55" s="99"/>
      <c r="BQ55" s="99"/>
      <c r="BR55" s="99"/>
      <c r="BS55" s="99"/>
      <c r="BT55" s="99"/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99"/>
      <c r="CF55" s="99"/>
      <c r="CG55" s="99"/>
      <c r="CH55" s="99"/>
      <c r="CI55" s="99"/>
      <c r="CJ55" s="99"/>
      <c r="CK55" s="99"/>
      <c r="CL55" s="99"/>
      <c r="CM55" s="99"/>
      <c r="CN55" s="99"/>
      <c r="CO55" s="99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99"/>
      <c r="DA55" s="99"/>
      <c r="DB55" s="99"/>
      <c r="DC55" s="99"/>
      <c r="DD55" s="99"/>
      <c r="DE55" s="99"/>
      <c r="DF55" s="99"/>
      <c r="DG55" s="99"/>
      <c r="DH55" s="99"/>
      <c r="DI55" s="99"/>
      <c r="DJ55" s="99"/>
      <c r="DK55" s="99"/>
      <c r="DL55" s="99"/>
      <c r="DM55" s="99"/>
      <c r="DN55" s="99"/>
      <c r="DO55" s="99"/>
      <c r="DP55" s="99"/>
      <c r="DQ55" s="99"/>
      <c r="DR55" s="99"/>
      <c r="DS55" s="99"/>
      <c r="DT55" s="99"/>
      <c r="DU55" s="99"/>
      <c r="DV55" s="99"/>
      <c r="DW55" s="99"/>
      <c r="DX55" s="99"/>
      <c r="DY55" s="99"/>
      <c r="DZ55" s="99"/>
      <c r="EA55" s="99"/>
      <c r="EB55" s="99"/>
      <c r="EC55" s="99"/>
      <c r="ED55" s="99"/>
      <c r="EE55" s="99"/>
      <c r="EF55" s="99"/>
      <c r="EG55" s="99"/>
      <c r="EH55" s="99"/>
      <c r="EI55" s="99"/>
      <c r="EJ55" s="99"/>
      <c r="EK55" s="99"/>
      <c r="EL55" s="99"/>
      <c r="EM55" s="99"/>
      <c r="EN55" s="99"/>
      <c r="EO55" s="99"/>
      <c r="EP55" s="99"/>
      <c r="EQ55" s="99"/>
      <c r="ER55" s="99"/>
      <c r="ES55" s="99"/>
      <c r="ET55" s="99"/>
      <c r="EU55" s="99"/>
      <c r="EV55" s="99"/>
      <c r="EW55" s="99"/>
      <c r="EX55" s="99"/>
      <c r="EY55" s="99"/>
      <c r="EZ55" s="99"/>
      <c r="FA55" s="99"/>
      <c r="FB55" s="99"/>
      <c r="FC55" s="99"/>
      <c r="FD55" s="99"/>
      <c r="FE55" s="99"/>
      <c r="FF55" s="99"/>
      <c r="FG55" s="99"/>
      <c r="FH55" s="99"/>
      <c r="FI55" s="99"/>
      <c r="FJ55" s="99"/>
      <c r="FK55" s="99"/>
      <c r="FL55" s="99"/>
      <c r="FM55" s="99"/>
      <c r="FN55" s="99"/>
      <c r="FO55" s="99"/>
      <c r="FP55" s="99"/>
      <c r="FQ55" s="99"/>
      <c r="FR55" s="99"/>
      <c r="FS55" s="99"/>
      <c r="FT55" s="99"/>
      <c r="FU55" s="99"/>
      <c r="FV55" s="99"/>
      <c r="FW55" s="99"/>
      <c r="FX55" s="99"/>
      <c r="FY55" s="99"/>
      <c r="FZ55" s="99"/>
      <c r="GA55" s="99"/>
      <c r="GB55" s="99"/>
      <c r="GC55" s="99"/>
      <c r="GD55" s="99"/>
      <c r="GE55" s="99"/>
      <c r="GF55" s="99"/>
      <c r="GG55" s="99"/>
      <c r="GH55" s="99"/>
      <c r="GI55" s="99"/>
      <c r="GJ55" s="99"/>
      <c r="GK55" s="99"/>
      <c r="GL55" s="99"/>
      <c r="GM55" s="99"/>
      <c r="GN55" s="99"/>
      <c r="GO55" s="99"/>
      <c r="GP55" s="99"/>
      <c r="GQ55" s="99"/>
      <c r="GR55" s="99"/>
      <c r="GS55" s="99"/>
      <c r="GT55" s="99"/>
      <c r="GU55" s="99"/>
      <c r="GV55" s="99"/>
      <c r="GW55" s="99"/>
      <c r="GX55" s="99"/>
      <c r="GY55" s="99"/>
      <c r="GZ55" s="99"/>
      <c r="HA55" s="99"/>
      <c r="HB55" s="99"/>
      <c r="HC55" s="99"/>
      <c r="HD55" s="99"/>
      <c r="HE55" s="99"/>
      <c r="HF55" s="99"/>
      <c r="HG55" s="99"/>
      <c r="HH55" s="99"/>
      <c r="HI55" s="99"/>
      <c r="HJ55" s="99"/>
      <c r="HK55" s="99"/>
      <c r="HL55" s="99"/>
      <c r="HM55" s="99"/>
      <c r="HN55" s="99"/>
      <c r="HO55" s="99"/>
      <c r="HP55" s="99"/>
      <c r="HQ55" s="99"/>
      <c r="HR55" s="99"/>
      <c r="HS55" s="99"/>
      <c r="HT55" s="99"/>
      <c r="HU55" s="99"/>
      <c r="HV55" s="99"/>
      <c r="HW55" s="99"/>
      <c r="HX55" s="99"/>
      <c r="HY55" s="99"/>
      <c r="HZ55" s="99"/>
      <c r="IA55" s="99"/>
      <c r="IB55" s="99"/>
      <c r="IC55" s="99"/>
      <c r="ID55" s="99"/>
      <c r="IE55" s="99"/>
      <c r="IF55" s="99"/>
      <c r="IG55" s="99"/>
      <c r="IH55" s="99"/>
      <c r="II55" s="99"/>
      <c r="IJ55" s="99"/>
      <c r="IT55" s="112"/>
    </row>
    <row r="56" spans="1:254">
      <c r="B56" s="207" t="s">
        <v>140</v>
      </c>
      <c r="C56" s="294" t="s">
        <v>237</v>
      </c>
      <c r="D56" s="137" t="s">
        <v>165</v>
      </c>
      <c r="E56" s="230" t="s">
        <v>238</v>
      </c>
      <c r="F56" s="158"/>
      <c r="G56" s="252" t="s">
        <v>557</v>
      </c>
      <c r="H56" s="230" t="s">
        <v>238</v>
      </c>
      <c r="I56" s="252" t="s">
        <v>557</v>
      </c>
      <c r="J56" s="230" t="s">
        <v>238</v>
      </c>
      <c r="K56" s="252"/>
      <c r="L56" s="230"/>
      <c r="M56" s="252"/>
      <c r="N56" s="230"/>
      <c r="O56" s="144">
        <f>19.27*4/1000</f>
        <v>7.7079999999999996E-2</v>
      </c>
      <c r="P56" s="144"/>
      <c r="Q56" s="144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  <c r="DQ56" s="99"/>
      <c r="DR56" s="99"/>
      <c r="DS56" s="99"/>
      <c r="DT56" s="99"/>
      <c r="DU56" s="99"/>
      <c r="DV56" s="99"/>
      <c r="DW56" s="99"/>
      <c r="DX56" s="99"/>
      <c r="DY56" s="99"/>
      <c r="DZ56" s="99"/>
      <c r="EA56" s="99"/>
      <c r="EB56" s="99"/>
      <c r="EC56" s="99"/>
      <c r="ED56" s="99"/>
      <c r="EE56" s="99"/>
      <c r="EF56" s="99"/>
      <c r="EG56" s="99"/>
      <c r="EH56" s="99"/>
      <c r="EI56" s="99"/>
      <c r="EJ56" s="99"/>
      <c r="EK56" s="99"/>
      <c r="EL56" s="99"/>
      <c r="EM56" s="99"/>
      <c r="EN56" s="99"/>
      <c r="EO56" s="99"/>
      <c r="EP56" s="99"/>
      <c r="EQ56" s="99"/>
      <c r="ER56" s="99"/>
      <c r="ES56" s="99"/>
      <c r="ET56" s="99"/>
      <c r="EU56" s="99"/>
      <c r="EV56" s="99"/>
      <c r="EW56" s="99"/>
      <c r="EX56" s="99"/>
      <c r="EY56" s="99"/>
      <c r="EZ56" s="99"/>
      <c r="FA56" s="99"/>
      <c r="FB56" s="99"/>
      <c r="FC56" s="99"/>
      <c r="FD56" s="99"/>
      <c r="FE56" s="99"/>
      <c r="FF56" s="99"/>
      <c r="FG56" s="99"/>
      <c r="FH56" s="99"/>
      <c r="FI56" s="99"/>
      <c r="FJ56" s="99"/>
      <c r="FK56" s="99"/>
      <c r="FL56" s="99"/>
      <c r="FM56" s="99"/>
      <c r="FN56" s="99"/>
      <c r="FO56" s="99"/>
      <c r="FP56" s="99"/>
      <c r="FQ56" s="99"/>
      <c r="FR56" s="99"/>
      <c r="FS56" s="99"/>
      <c r="FT56" s="99"/>
      <c r="FU56" s="99"/>
      <c r="FV56" s="99"/>
      <c r="FW56" s="99"/>
      <c r="FX56" s="99"/>
      <c r="FY56" s="99"/>
      <c r="FZ56" s="99"/>
      <c r="GA56" s="99"/>
      <c r="GB56" s="99"/>
      <c r="GC56" s="99"/>
      <c r="GD56" s="99"/>
      <c r="GE56" s="99"/>
      <c r="GF56" s="99"/>
      <c r="GG56" s="99"/>
      <c r="GH56" s="99"/>
      <c r="GI56" s="99"/>
      <c r="GJ56" s="99"/>
      <c r="GK56" s="99"/>
      <c r="GL56" s="99"/>
      <c r="GM56" s="99"/>
      <c r="GN56" s="99"/>
      <c r="GO56" s="99"/>
      <c r="GP56" s="99"/>
      <c r="GQ56" s="99"/>
      <c r="GR56" s="99"/>
      <c r="GS56" s="99"/>
      <c r="GT56" s="99"/>
      <c r="GU56" s="99"/>
      <c r="GV56" s="99"/>
      <c r="GW56" s="99"/>
      <c r="GX56" s="99"/>
      <c r="GY56" s="99"/>
      <c r="GZ56" s="99"/>
      <c r="HA56" s="99"/>
      <c r="HB56" s="99"/>
      <c r="HC56" s="99"/>
      <c r="HD56" s="99"/>
      <c r="HE56" s="99"/>
      <c r="HF56" s="99"/>
      <c r="HG56" s="99"/>
      <c r="HH56" s="99"/>
      <c r="HI56" s="99"/>
      <c r="HJ56" s="99"/>
      <c r="HK56" s="99"/>
      <c r="HL56" s="99"/>
      <c r="HM56" s="99"/>
      <c r="HN56" s="99"/>
      <c r="HO56" s="99"/>
      <c r="HP56" s="99"/>
      <c r="HQ56" s="99"/>
      <c r="HR56" s="99"/>
      <c r="HS56" s="99"/>
      <c r="HT56" s="99"/>
      <c r="HU56" s="99"/>
      <c r="HV56" s="99"/>
      <c r="HW56" s="99"/>
      <c r="HX56" s="99"/>
      <c r="HY56" s="99"/>
      <c r="HZ56" s="99"/>
      <c r="IA56" s="99"/>
      <c r="IB56" s="99"/>
      <c r="IC56" s="99"/>
      <c r="ID56" s="99"/>
      <c r="IE56" s="99"/>
      <c r="IF56" s="99"/>
      <c r="IG56" s="99"/>
      <c r="IH56" s="99"/>
      <c r="II56" s="99"/>
      <c r="IJ56" s="99"/>
      <c r="IT56" s="112"/>
    </row>
    <row r="57" spans="1:254" ht="34.5">
      <c r="B57" s="185" t="s">
        <v>142</v>
      </c>
      <c r="C57" s="300" t="s">
        <v>242</v>
      </c>
      <c r="D57" s="155" t="s">
        <v>560</v>
      </c>
      <c r="E57" s="259">
        <v>0.06</v>
      </c>
      <c r="F57" s="155"/>
      <c r="G57" s="211" t="s">
        <v>264</v>
      </c>
      <c r="H57" s="259">
        <v>0.06</v>
      </c>
      <c r="I57" s="211" t="s">
        <v>264</v>
      </c>
      <c r="J57" s="259">
        <v>0.06</v>
      </c>
      <c r="K57" s="211"/>
      <c r="L57" s="259"/>
      <c r="M57" s="211"/>
      <c r="N57" s="259"/>
      <c r="O57" s="144">
        <f>0.9*0.9</f>
        <v>0.81</v>
      </c>
      <c r="P57" s="144"/>
      <c r="Q57" s="144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99"/>
      <c r="CF57" s="99"/>
      <c r="CG57" s="99"/>
      <c r="CH57" s="99"/>
      <c r="CI57" s="99"/>
      <c r="CJ57" s="99"/>
      <c r="CK57" s="99"/>
      <c r="CL57" s="99"/>
      <c r="CM57" s="99"/>
      <c r="CN57" s="99"/>
      <c r="CO57" s="99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99"/>
      <c r="DA57" s="99"/>
      <c r="DB57" s="99"/>
      <c r="DC57" s="99"/>
      <c r="DD57" s="99"/>
      <c r="DE57" s="99"/>
      <c r="DF57" s="99"/>
      <c r="DG57" s="99"/>
      <c r="DH57" s="99"/>
      <c r="DI57" s="99"/>
      <c r="DJ57" s="99"/>
      <c r="DK57" s="99"/>
      <c r="DL57" s="99"/>
      <c r="DM57" s="99"/>
      <c r="DN57" s="99"/>
      <c r="DO57" s="99"/>
      <c r="DP57" s="99"/>
      <c r="DQ57" s="99"/>
      <c r="DR57" s="99"/>
      <c r="DS57" s="99"/>
      <c r="DT57" s="99"/>
      <c r="DU57" s="99"/>
      <c r="DV57" s="99"/>
      <c r="DW57" s="99"/>
      <c r="DX57" s="99"/>
      <c r="DY57" s="99"/>
      <c r="DZ57" s="99"/>
      <c r="EA57" s="99"/>
      <c r="EB57" s="99"/>
      <c r="EC57" s="99"/>
      <c r="ED57" s="99"/>
      <c r="EE57" s="99"/>
      <c r="EF57" s="99"/>
      <c r="EG57" s="99"/>
      <c r="EH57" s="99"/>
      <c r="EI57" s="99"/>
      <c r="EJ57" s="99"/>
      <c r="EK57" s="99"/>
      <c r="EL57" s="99"/>
      <c r="EM57" s="99"/>
      <c r="EN57" s="99"/>
      <c r="EO57" s="99"/>
      <c r="EP57" s="99"/>
      <c r="EQ57" s="99"/>
      <c r="ER57" s="99"/>
      <c r="ES57" s="99"/>
      <c r="ET57" s="99"/>
      <c r="EU57" s="99"/>
      <c r="EV57" s="99"/>
      <c r="EW57" s="99"/>
      <c r="EX57" s="99"/>
      <c r="EY57" s="99"/>
      <c r="EZ57" s="99"/>
      <c r="FA57" s="99"/>
      <c r="FB57" s="99"/>
      <c r="FC57" s="99"/>
      <c r="FD57" s="99"/>
      <c r="FE57" s="99"/>
      <c r="FF57" s="99"/>
      <c r="FG57" s="99"/>
      <c r="FH57" s="99"/>
      <c r="FI57" s="99"/>
      <c r="FJ57" s="99"/>
      <c r="FK57" s="99"/>
      <c r="FL57" s="99"/>
      <c r="FM57" s="99"/>
      <c r="FN57" s="99"/>
      <c r="FO57" s="99"/>
      <c r="FP57" s="99"/>
      <c r="FQ57" s="99"/>
      <c r="FR57" s="99"/>
      <c r="FS57" s="99"/>
      <c r="FT57" s="99"/>
      <c r="FU57" s="99"/>
      <c r="FV57" s="99"/>
      <c r="FW57" s="99"/>
      <c r="FX57" s="99"/>
      <c r="FY57" s="99"/>
      <c r="FZ57" s="99"/>
      <c r="GA57" s="99"/>
      <c r="GB57" s="99"/>
      <c r="GC57" s="99"/>
      <c r="GD57" s="99"/>
      <c r="GE57" s="99"/>
      <c r="GF57" s="99"/>
      <c r="GG57" s="99"/>
      <c r="GH57" s="99"/>
      <c r="GI57" s="99"/>
      <c r="GJ57" s="99"/>
      <c r="GK57" s="99"/>
      <c r="GL57" s="99"/>
      <c r="GM57" s="99"/>
      <c r="GN57" s="99"/>
      <c r="GO57" s="99"/>
      <c r="GP57" s="99"/>
      <c r="GQ57" s="99"/>
      <c r="GR57" s="99"/>
      <c r="GS57" s="99"/>
      <c r="GT57" s="99"/>
      <c r="GU57" s="99"/>
      <c r="GV57" s="99"/>
      <c r="GW57" s="99"/>
      <c r="GX57" s="99"/>
      <c r="GY57" s="99"/>
      <c r="GZ57" s="99"/>
      <c r="HA57" s="99"/>
      <c r="HB57" s="99"/>
      <c r="HC57" s="99"/>
      <c r="HD57" s="99"/>
      <c r="HE57" s="99"/>
      <c r="HF57" s="99"/>
      <c r="HG57" s="99"/>
      <c r="HH57" s="99"/>
      <c r="HI57" s="99"/>
      <c r="HJ57" s="99"/>
      <c r="HK57" s="99"/>
      <c r="HL57" s="99"/>
      <c r="HM57" s="99"/>
      <c r="HN57" s="99"/>
      <c r="HO57" s="99"/>
      <c r="HP57" s="99"/>
      <c r="HQ57" s="99"/>
      <c r="HR57" s="99"/>
      <c r="HS57" s="99"/>
      <c r="HT57" s="99"/>
      <c r="HU57" s="99"/>
      <c r="HV57" s="99"/>
      <c r="HW57" s="99"/>
      <c r="HX57" s="99"/>
      <c r="HY57" s="99"/>
      <c r="HZ57" s="99"/>
      <c r="IA57" s="99"/>
      <c r="IB57" s="99"/>
      <c r="IC57" s="99"/>
      <c r="ID57" s="99"/>
      <c r="IE57" s="99"/>
      <c r="IF57" s="99"/>
      <c r="IG57" s="99"/>
      <c r="IH57" s="99"/>
      <c r="II57" s="99"/>
      <c r="IJ57" s="99"/>
      <c r="IT57" s="112"/>
    </row>
    <row r="58" spans="1:254" ht="47.25">
      <c r="B58" s="213" t="s">
        <v>176</v>
      </c>
      <c r="C58" s="301" t="s">
        <v>236</v>
      </c>
      <c r="D58" s="188" t="s">
        <v>563</v>
      </c>
      <c r="E58" s="231">
        <v>10.08</v>
      </c>
      <c r="F58" s="163"/>
      <c r="G58" s="215" t="s">
        <v>264</v>
      </c>
      <c r="H58" s="231">
        <v>10.08</v>
      </c>
      <c r="I58" s="215" t="s">
        <v>264</v>
      </c>
      <c r="J58" s="231">
        <v>10.08</v>
      </c>
      <c r="K58" s="215"/>
      <c r="L58" s="231"/>
      <c r="M58" s="215"/>
      <c r="N58" s="231"/>
      <c r="O58" s="144">
        <f>1.2*(1.5*4)+1.5*1.5</f>
        <v>9.4499999999999993</v>
      </c>
      <c r="P58" s="144">
        <f>1.2*(1.6*4)+1.6*1.5</f>
        <v>10.08</v>
      </c>
      <c r="Q58" s="144">
        <f>P58-O58</f>
        <v>0.63000000000000078</v>
      </c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  <c r="BO58" s="99"/>
      <c r="BP58" s="99"/>
      <c r="BQ58" s="99"/>
      <c r="BR58" s="99"/>
      <c r="BS58" s="99"/>
      <c r="BT58" s="99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99"/>
      <c r="CF58" s="99"/>
      <c r="CG58" s="99"/>
      <c r="CH58" s="99"/>
      <c r="CI58" s="99"/>
      <c r="CJ58" s="99"/>
      <c r="CK58" s="99"/>
      <c r="CL58" s="99"/>
      <c r="CM58" s="99"/>
      <c r="CN58" s="99"/>
      <c r="CO58" s="99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99"/>
      <c r="DA58" s="99"/>
      <c r="DB58" s="99"/>
      <c r="DC58" s="99"/>
      <c r="DD58" s="99"/>
      <c r="DE58" s="99"/>
      <c r="DF58" s="99"/>
      <c r="DG58" s="99"/>
      <c r="DH58" s="99"/>
      <c r="DI58" s="99"/>
      <c r="DJ58" s="99"/>
      <c r="DK58" s="99"/>
      <c r="DL58" s="99"/>
      <c r="DM58" s="99"/>
      <c r="DN58" s="99"/>
      <c r="DO58" s="99"/>
      <c r="DP58" s="99"/>
      <c r="DQ58" s="99"/>
      <c r="DR58" s="99"/>
      <c r="DS58" s="99"/>
      <c r="DT58" s="99"/>
      <c r="DU58" s="99"/>
      <c r="DV58" s="99"/>
      <c r="DW58" s="99"/>
      <c r="DX58" s="99"/>
      <c r="DY58" s="99"/>
      <c r="DZ58" s="99"/>
      <c r="EA58" s="99"/>
      <c r="EB58" s="99"/>
      <c r="EC58" s="99"/>
      <c r="ED58" s="99"/>
      <c r="EE58" s="99"/>
      <c r="EF58" s="99"/>
      <c r="EG58" s="99"/>
      <c r="EH58" s="99"/>
      <c r="EI58" s="99"/>
      <c r="EJ58" s="99"/>
      <c r="EK58" s="99"/>
      <c r="EL58" s="99"/>
      <c r="EM58" s="99"/>
      <c r="EN58" s="99"/>
      <c r="EO58" s="99"/>
      <c r="EP58" s="99"/>
      <c r="EQ58" s="99"/>
      <c r="ER58" s="99"/>
      <c r="ES58" s="99"/>
      <c r="ET58" s="99"/>
      <c r="EU58" s="99"/>
      <c r="EV58" s="99"/>
      <c r="EW58" s="99"/>
      <c r="EX58" s="99"/>
      <c r="EY58" s="99"/>
      <c r="EZ58" s="99"/>
      <c r="FA58" s="99"/>
      <c r="FB58" s="99"/>
      <c r="FC58" s="99"/>
      <c r="FD58" s="99"/>
      <c r="FE58" s="99"/>
      <c r="FF58" s="99"/>
      <c r="FG58" s="99"/>
      <c r="FH58" s="99"/>
      <c r="FI58" s="99"/>
      <c r="FJ58" s="99"/>
      <c r="FK58" s="99"/>
      <c r="FL58" s="99"/>
      <c r="FM58" s="99"/>
      <c r="FN58" s="99"/>
      <c r="FO58" s="99"/>
      <c r="FP58" s="99"/>
      <c r="FQ58" s="99"/>
      <c r="FR58" s="99"/>
      <c r="FS58" s="99"/>
      <c r="FT58" s="99"/>
      <c r="FU58" s="99"/>
      <c r="FV58" s="99"/>
      <c r="FW58" s="99"/>
      <c r="FX58" s="99"/>
      <c r="FY58" s="99"/>
      <c r="FZ58" s="99"/>
      <c r="GA58" s="99"/>
      <c r="GB58" s="99"/>
      <c r="GC58" s="99"/>
      <c r="GD58" s="99"/>
      <c r="GE58" s="99"/>
      <c r="GF58" s="99"/>
      <c r="GG58" s="99"/>
      <c r="GH58" s="99"/>
      <c r="GI58" s="99"/>
      <c r="GJ58" s="99"/>
      <c r="GK58" s="99"/>
      <c r="GL58" s="99"/>
      <c r="GM58" s="99"/>
      <c r="GN58" s="99"/>
      <c r="GO58" s="99"/>
      <c r="GP58" s="99"/>
      <c r="GQ58" s="99"/>
      <c r="GR58" s="99"/>
      <c r="GS58" s="99"/>
      <c r="GT58" s="99"/>
      <c r="GU58" s="99"/>
      <c r="GV58" s="99"/>
      <c r="GW58" s="99"/>
      <c r="GX58" s="99"/>
      <c r="GY58" s="99"/>
      <c r="GZ58" s="99"/>
      <c r="HA58" s="99"/>
      <c r="HB58" s="99"/>
      <c r="HC58" s="99"/>
      <c r="HD58" s="99"/>
      <c r="HE58" s="99"/>
      <c r="HF58" s="99"/>
      <c r="HG58" s="99"/>
      <c r="HH58" s="99"/>
      <c r="HI58" s="99"/>
      <c r="HJ58" s="99"/>
      <c r="HK58" s="99"/>
      <c r="HL58" s="99"/>
      <c r="HM58" s="99"/>
      <c r="HN58" s="99"/>
      <c r="HO58" s="99"/>
      <c r="HP58" s="99"/>
      <c r="HQ58" s="99"/>
      <c r="HR58" s="99"/>
      <c r="HS58" s="99"/>
      <c r="HT58" s="99"/>
      <c r="HU58" s="99"/>
      <c r="HV58" s="99"/>
      <c r="HW58" s="99"/>
      <c r="HX58" s="99"/>
      <c r="HY58" s="99"/>
      <c r="HZ58" s="99"/>
      <c r="IA58" s="99"/>
      <c r="IB58" s="99"/>
      <c r="IC58" s="99"/>
      <c r="ID58" s="99"/>
      <c r="IE58" s="99"/>
      <c r="IF58" s="99"/>
      <c r="IG58" s="99"/>
      <c r="IH58" s="99"/>
      <c r="II58" s="99"/>
      <c r="IJ58" s="99"/>
    </row>
    <row r="59" spans="1:254">
      <c r="B59" s="207" t="s">
        <v>177</v>
      </c>
      <c r="C59" s="299" t="s">
        <v>307</v>
      </c>
      <c r="D59" s="137" t="s">
        <v>141</v>
      </c>
      <c r="E59" s="230">
        <v>0.01</v>
      </c>
      <c r="F59" s="137"/>
      <c r="G59" s="138" t="s">
        <v>264</v>
      </c>
      <c r="H59" s="230">
        <v>0.01</v>
      </c>
      <c r="I59" s="138" t="s">
        <v>264</v>
      </c>
      <c r="J59" s="230">
        <v>0.01</v>
      </c>
      <c r="K59" s="138"/>
      <c r="L59" s="230"/>
      <c r="M59" s="138"/>
      <c r="N59" s="230"/>
      <c r="O59" s="144">
        <f>(0.62*4+1.9*4)/1000</f>
        <v>1.008E-2</v>
      </c>
      <c r="P59" s="144"/>
      <c r="Q59" s="144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  <c r="BZ59" s="99"/>
      <c r="CA59" s="99"/>
      <c r="CB59" s="99"/>
      <c r="CC59" s="99"/>
      <c r="CD59" s="99"/>
      <c r="CE59" s="99"/>
      <c r="CF59" s="99"/>
      <c r="CG59" s="99"/>
      <c r="CH59" s="99"/>
      <c r="CI59" s="99"/>
      <c r="CJ59" s="99"/>
      <c r="CK59" s="99"/>
      <c r="CL59" s="99"/>
      <c r="CM59" s="99"/>
      <c r="CN59" s="99"/>
      <c r="CO59" s="99"/>
      <c r="CP59" s="99"/>
      <c r="CQ59" s="99"/>
      <c r="CR59" s="99"/>
      <c r="CS59" s="99"/>
      <c r="CT59" s="99"/>
      <c r="CU59" s="99"/>
      <c r="CV59" s="99"/>
      <c r="CW59" s="99"/>
      <c r="CX59" s="99"/>
      <c r="CY59" s="99"/>
      <c r="CZ59" s="99"/>
      <c r="DA59" s="99"/>
      <c r="DB59" s="99"/>
      <c r="DC59" s="99"/>
      <c r="DD59" s="99"/>
      <c r="DE59" s="99"/>
      <c r="DF59" s="99"/>
      <c r="DG59" s="99"/>
      <c r="DH59" s="99"/>
      <c r="DI59" s="99"/>
      <c r="DJ59" s="99"/>
      <c r="DK59" s="99"/>
      <c r="DL59" s="99"/>
      <c r="DM59" s="99"/>
      <c r="DN59" s="99"/>
      <c r="DO59" s="99"/>
      <c r="DP59" s="99"/>
      <c r="DQ59" s="99"/>
      <c r="DR59" s="99"/>
      <c r="DS59" s="99"/>
      <c r="DT59" s="99"/>
      <c r="DU59" s="99"/>
      <c r="DV59" s="99"/>
      <c r="DW59" s="99"/>
      <c r="DX59" s="99"/>
      <c r="DY59" s="99"/>
      <c r="DZ59" s="99"/>
      <c r="EA59" s="99"/>
      <c r="EB59" s="99"/>
      <c r="EC59" s="99"/>
      <c r="ED59" s="99"/>
      <c r="EE59" s="99"/>
      <c r="EF59" s="99"/>
      <c r="EG59" s="99"/>
      <c r="EH59" s="99"/>
      <c r="EI59" s="99"/>
      <c r="EJ59" s="99"/>
      <c r="EK59" s="99"/>
      <c r="EL59" s="99"/>
      <c r="EM59" s="99"/>
      <c r="EN59" s="99"/>
      <c r="EO59" s="99"/>
      <c r="EP59" s="99"/>
      <c r="EQ59" s="99"/>
      <c r="ER59" s="99"/>
      <c r="ES59" s="99"/>
      <c r="ET59" s="99"/>
      <c r="EU59" s="99"/>
      <c r="EV59" s="99"/>
      <c r="EW59" s="99"/>
      <c r="EX59" s="99"/>
      <c r="EY59" s="99"/>
      <c r="EZ59" s="99"/>
      <c r="FA59" s="99"/>
      <c r="FB59" s="99"/>
      <c r="FC59" s="99"/>
      <c r="FD59" s="99"/>
      <c r="FE59" s="99"/>
      <c r="FF59" s="99"/>
      <c r="FG59" s="99"/>
      <c r="FH59" s="99"/>
      <c r="FI59" s="99"/>
      <c r="FJ59" s="99"/>
      <c r="FK59" s="99"/>
      <c r="FL59" s="99"/>
      <c r="FM59" s="99"/>
      <c r="FN59" s="99"/>
      <c r="FO59" s="99"/>
      <c r="FP59" s="99"/>
      <c r="FQ59" s="99"/>
      <c r="FR59" s="99"/>
      <c r="FS59" s="99"/>
      <c r="FT59" s="99"/>
      <c r="FU59" s="99"/>
      <c r="FV59" s="99"/>
      <c r="FW59" s="99"/>
      <c r="FX59" s="99"/>
      <c r="FY59" s="99"/>
      <c r="FZ59" s="99"/>
      <c r="GA59" s="99"/>
      <c r="GB59" s="99"/>
      <c r="GC59" s="99"/>
      <c r="GD59" s="99"/>
      <c r="GE59" s="99"/>
      <c r="GF59" s="99"/>
      <c r="GG59" s="99"/>
      <c r="GH59" s="99"/>
      <c r="GI59" s="99"/>
      <c r="GJ59" s="99"/>
      <c r="GK59" s="99"/>
      <c r="GL59" s="99"/>
      <c r="GM59" s="99"/>
      <c r="GN59" s="99"/>
      <c r="GO59" s="99"/>
      <c r="GP59" s="99"/>
      <c r="GQ59" s="99"/>
      <c r="GR59" s="99"/>
      <c r="GS59" s="99"/>
      <c r="GT59" s="99"/>
      <c r="GU59" s="99"/>
      <c r="GV59" s="99"/>
      <c r="GW59" s="99"/>
      <c r="GX59" s="99"/>
      <c r="GY59" s="99"/>
      <c r="GZ59" s="99"/>
      <c r="HA59" s="99"/>
      <c r="HB59" s="99"/>
      <c r="HC59" s="99"/>
      <c r="HD59" s="99"/>
      <c r="HE59" s="99"/>
      <c r="HF59" s="99"/>
      <c r="HG59" s="99"/>
      <c r="HH59" s="99"/>
      <c r="HI59" s="99"/>
      <c r="HJ59" s="99"/>
      <c r="HK59" s="99"/>
      <c r="HL59" s="99"/>
      <c r="HM59" s="99"/>
      <c r="HN59" s="99"/>
      <c r="HO59" s="99"/>
      <c r="HP59" s="99"/>
      <c r="HQ59" s="99"/>
      <c r="HR59" s="99"/>
      <c r="HS59" s="99"/>
      <c r="HT59" s="99"/>
      <c r="HU59" s="99"/>
      <c r="HV59" s="99"/>
      <c r="HW59" s="99"/>
      <c r="HX59" s="99"/>
      <c r="HY59" s="99"/>
      <c r="HZ59" s="99"/>
      <c r="IA59" s="99"/>
      <c r="IB59" s="99"/>
      <c r="IC59" s="99"/>
      <c r="ID59" s="99"/>
      <c r="IE59" s="99"/>
      <c r="IF59" s="99"/>
      <c r="IG59" s="99"/>
      <c r="IH59" s="99"/>
      <c r="II59" s="99"/>
      <c r="IJ59" s="99"/>
      <c r="IT59" s="112"/>
    </row>
    <row r="60" spans="1:254" ht="16.5" thickBot="1">
      <c r="A60" s="164"/>
      <c r="B60" s="213" t="s">
        <v>244</v>
      </c>
      <c r="C60" s="302" t="s">
        <v>243</v>
      </c>
      <c r="D60" s="189" t="s">
        <v>141</v>
      </c>
      <c r="E60" s="275" t="s">
        <v>245</v>
      </c>
      <c r="F60" s="157"/>
      <c r="G60" s="275" t="s">
        <v>264</v>
      </c>
      <c r="H60" s="274" t="s">
        <v>245</v>
      </c>
      <c r="I60" s="275" t="s">
        <v>264</v>
      </c>
      <c r="J60" s="274" t="s">
        <v>245</v>
      </c>
      <c r="K60" s="275"/>
      <c r="L60" s="274"/>
      <c r="M60" s="275"/>
      <c r="N60" s="274"/>
      <c r="O60" s="166">
        <f>7.34*2/1000</f>
        <v>1.468E-2</v>
      </c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  <c r="CM60" s="99"/>
      <c r="CN60" s="99"/>
      <c r="CO60" s="99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99"/>
      <c r="DA60" s="99"/>
      <c r="DB60" s="99"/>
      <c r="DC60" s="99"/>
      <c r="DD60" s="99"/>
      <c r="DE60" s="99"/>
      <c r="DF60" s="99"/>
      <c r="DG60" s="99"/>
      <c r="DH60" s="99"/>
      <c r="DI60" s="99"/>
      <c r="DJ60" s="99"/>
      <c r="DK60" s="99"/>
      <c r="DL60" s="99"/>
      <c r="DM60" s="99"/>
      <c r="DN60" s="99"/>
      <c r="DO60" s="99"/>
      <c r="DP60" s="99"/>
      <c r="DQ60" s="99"/>
      <c r="DR60" s="99"/>
      <c r="DS60" s="99"/>
      <c r="DT60" s="99"/>
      <c r="DU60" s="99"/>
      <c r="DV60" s="99"/>
      <c r="DW60" s="99"/>
      <c r="DX60" s="99"/>
      <c r="DY60" s="99"/>
      <c r="DZ60" s="99"/>
      <c r="EA60" s="99"/>
      <c r="EB60" s="99"/>
      <c r="EC60" s="99"/>
      <c r="ED60" s="99"/>
      <c r="EE60" s="99"/>
      <c r="EF60" s="99"/>
      <c r="EG60" s="99"/>
      <c r="EH60" s="99"/>
      <c r="EI60" s="99"/>
      <c r="EJ60" s="99"/>
      <c r="EK60" s="99"/>
      <c r="EL60" s="99"/>
      <c r="EM60" s="99"/>
      <c r="EN60" s="99"/>
      <c r="EO60" s="99"/>
      <c r="EP60" s="99"/>
      <c r="EQ60" s="99"/>
      <c r="ER60" s="99"/>
      <c r="ES60" s="99"/>
      <c r="ET60" s="99"/>
      <c r="EU60" s="99"/>
      <c r="EV60" s="99"/>
      <c r="EW60" s="99"/>
      <c r="EX60" s="99"/>
      <c r="EY60" s="99"/>
      <c r="EZ60" s="99"/>
      <c r="FA60" s="99"/>
      <c r="FB60" s="99"/>
      <c r="FC60" s="99"/>
      <c r="FD60" s="99"/>
      <c r="FE60" s="99"/>
      <c r="FF60" s="99"/>
      <c r="FG60" s="99"/>
      <c r="FH60" s="99"/>
      <c r="FI60" s="99"/>
      <c r="FJ60" s="99"/>
      <c r="FK60" s="99"/>
      <c r="FL60" s="99"/>
      <c r="FM60" s="99"/>
      <c r="FN60" s="99"/>
      <c r="FO60" s="99"/>
      <c r="FP60" s="99"/>
      <c r="FQ60" s="99"/>
      <c r="FR60" s="99"/>
      <c r="FS60" s="99"/>
      <c r="FT60" s="99"/>
      <c r="FU60" s="99"/>
      <c r="FV60" s="99"/>
      <c r="FW60" s="99"/>
      <c r="FX60" s="99"/>
      <c r="FY60" s="99"/>
      <c r="FZ60" s="99"/>
      <c r="GA60" s="99"/>
      <c r="GB60" s="99"/>
      <c r="GC60" s="99"/>
      <c r="GD60" s="99"/>
      <c r="GE60" s="99"/>
      <c r="GF60" s="99"/>
      <c r="GG60" s="99"/>
      <c r="GH60" s="99"/>
      <c r="GI60" s="99"/>
      <c r="GJ60" s="99"/>
      <c r="GK60" s="99"/>
      <c r="GL60" s="99"/>
      <c r="GM60" s="99"/>
      <c r="GN60" s="99"/>
      <c r="GO60" s="99"/>
      <c r="GP60" s="99"/>
      <c r="GQ60" s="99"/>
      <c r="GR60" s="99"/>
      <c r="GS60" s="99"/>
      <c r="GT60" s="99"/>
      <c r="GU60" s="99"/>
      <c r="GV60" s="99"/>
      <c r="GW60" s="99"/>
      <c r="GX60" s="99"/>
      <c r="GY60" s="99"/>
      <c r="GZ60" s="99"/>
      <c r="HA60" s="99"/>
      <c r="HB60" s="99"/>
      <c r="HC60" s="99"/>
      <c r="HD60" s="99"/>
      <c r="HE60" s="99"/>
      <c r="HF60" s="99"/>
      <c r="HG60" s="99"/>
      <c r="HH60" s="99"/>
      <c r="HI60" s="99"/>
      <c r="HJ60" s="99"/>
      <c r="HK60" s="99"/>
      <c r="HL60" s="99"/>
      <c r="HM60" s="99"/>
      <c r="HN60" s="99"/>
      <c r="HO60" s="99"/>
      <c r="HP60" s="99"/>
      <c r="HQ60" s="99"/>
      <c r="HR60" s="99"/>
      <c r="HS60" s="99"/>
      <c r="HT60" s="99"/>
      <c r="HU60" s="99"/>
      <c r="HV60" s="99"/>
      <c r="HW60" s="99"/>
      <c r="HX60" s="99"/>
      <c r="HY60" s="99"/>
      <c r="HZ60" s="99"/>
      <c r="IA60" s="99"/>
      <c r="IB60" s="99"/>
      <c r="IC60" s="99"/>
      <c r="ID60" s="99"/>
      <c r="IE60" s="99"/>
      <c r="IF60" s="99"/>
      <c r="IG60" s="99"/>
      <c r="IH60" s="99"/>
    </row>
    <row r="61" spans="1:254" ht="32.25" thickBot="1">
      <c r="B61" s="239"/>
      <c r="C61" s="297" t="s">
        <v>246</v>
      </c>
      <c r="D61" s="199"/>
      <c r="E61" s="240"/>
      <c r="F61" s="126"/>
      <c r="G61" s="240"/>
      <c r="H61" s="240"/>
      <c r="I61" s="240"/>
      <c r="J61" s="240"/>
      <c r="K61" s="240"/>
      <c r="L61" s="240"/>
      <c r="M61" s="240"/>
      <c r="N61" s="240"/>
      <c r="O61" s="128"/>
      <c r="P61" s="128"/>
      <c r="Q61" s="125"/>
      <c r="R61" s="125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99"/>
      <c r="CL61" s="99"/>
      <c r="CM61" s="99"/>
      <c r="CN61" s="99"/>
      <c r="CO61" s="99"/>
      <c r="CP61" s="99"/>
      <c r="CQ61" s="99"/>
      <c r="CR61" s="99"/>
      <c r="CS61" s="99"/>
      <c r="CT61" s="99"/>
      <c r="CU61" s="99"/>
      <c r="CV61" s="99"/>
      <c r="CW61" s="99"/>
      <c r="CX61" s="99"/>
      <c r="CY61" s="99"/>
      <c r="CZ61" s="99"/>
      <c r="DA61" s="99"/>
      <c r="DB61" s="99"/>
      <c r="DC61" s="99"/>
      <c r="DD61" s="99"/>
      <c r="DE61" s="99"/>
      <c r="DF61" s="99"/>
      <c r="DG61" s="99"/>
      <c r="DH61" s="99"/>
      <c r="DI61" s="99"/>
      <c r="DJ61" s="99"/>
      <c r="DK61" s="99"/>
      <c r="DL61" s="99"/>
      <c r="DM61" s="99"/>
      <c r="DN61" s="99"/>
      <c r="DO61" s="99"/>
      <c r="DP61" s="99"/>
      <c r="DQ61" s="99"/>
      <c r="DR61" s="99"/>
      <c r="DS61" s="99"/>
      <c r="DT61" s="99"/>
      <c r="DU61" s="99"/>
      <c r="DV61" s="99"/>
      <c r="DW61" s="99"/>
      <c r="DX61" s="99"/>
      <c r="DY61" s="99"/>
      <c r="DZ61" s="99"/>
      <c r="EA61" s="99"/>
      <c r="EB61" s="99"/>
      <c r="EC61" s="99"/>
      <c r="ED61" s="99"/>
      <c r="EE61" s="99"/>
      <c r="EF61" s="99"/>
      <c r="EG61" s="99"/>
      <c r="EH61" s="99"/>
      <c r="EI61" s="99"/>
      <c r="EJ61" s="99"/>
      <c r="EK61" s="99"/>
      <c r="EL61" s="99"/>
      <c r="EM61" s="99"/>
      <c r="EN61" s="99"/>
      <c r="EO61" s="99"/>
      <c r="EP61" s="99"/>
      <c r="EQ61" s="99"/>
      <c r="ER61" s="99"/>
      <c r="ES61" s="99"/>
      <c r="ET61" s="99"/>
      <c r="EU61" s="99"/>
      <c r="EV61" s="99"/>
      <c r="EW61" s="99"/>
      <c r="EX61" s="99"/>
      <c r="EY61" s="99"/>
      <c r="EZ61" s="99"/>
      <c r="FA61" s="99"/>
      <c r="FB61" s="99"/>
      <c r="FC61" s="99"/>
      <c r="FD61" s="99"/>
      <c r="FE61" s="99"/>
      <c r="FF61" s="99"/>
      <c r="FG61" s="99"/>
      <c r="FH61" s="99"/>
      <c r="FI61" s="99"/>
      <c r="FJ61" s="99"/>
      <c r="FK61" s="99"/>
      <c r="FL61" s="99"/>
      <c r="FM61" s="99"/>
      <c r="FN61" s="99"/>
      <c r="FO61" s="99"/>
      <c r="FP61" s="99"/>
      <c r="FQ61" s="99"/>
      <c r="FR61" s="99"/>
      <c r="FS61" s="99"/>
      <c r="FT61" s="99"/>
      <c r="FU61" s="99"/>
      <c r="FV61" s="99"/>
      <c r="FW61" s="99"/>
      <c r="FX61" s="99"/>
      <c r="FY61" s="99"/>
      <c r="FZ61" s="99"/>
      <c r="GA61" s="99"/>
      <c r="GB61" s="99"/>
      <c r="GC61" s="99"/>
      <c r="GD61" s="99"/>
      <c r="GE61" s="99"/>
      <c r="GF61" s="99"/>
      <c r="GG61" s="99"/>
      <c r="GH61" s="99"/>
      <c r="GI61" s="99"/>
      <c r="GJ61" s="99"/>
      <c r="GK61" s="99"/>
      <c r="GL61" s="99"/>
      <c r="GM61" s="99"/>
      <c r="GN61" s="99"/>
      <c r="GO61" s="99"/>
      <c r="GP61" s="99"/>
      <c r="GQ61" s="99"/>
      <c r="GR61" s="99"/>
      <c r="GS61" s="99"/>
      <c r="GT61" s="99"/>
      <c r="GU61" s="99"/>
      <c r="GV61" s="99"/>
      <c r="GW61" s="99"/>
      <c r="GX61" s="99"/>
      <c r="GY61" s="99"/>
      <c r="GZ61" s="99"/>
      <c r="HA61" s="99"/>
      <c r="HB61" s="99"/>
      <c r="HC61" s="99"/>
      <c r="HD61" s="99"/>
      <c r="HE61" s="99"/>
      <c r="HF61" s="99"/>
      <c r="HG61" s="99"/>
      <c r="HH61" s="99"/>
      <c r="HI61" s="99"/>
      <c r="HJ61" s="99"/>
      <c r="HK61" s="99"/>
      <c r="HL61" s="99"/>
      <c r="HM61" s="99"/>
      <c r="HN61" s="99"/>
      <c r="HO61" s="99"/>
      <c r="HP61" s="99"/>
      <c r="HQ61" s="99"/>
      <c r="HR61" s="99"/>
      <c r="HS61" s="99"/>
      <c r="HT61" s="99"/>
      <c r="HU61" s="99"/>
      <c r="HV61" s="99"/>
      <c r="HW61" s="99"/>
      <c r="HX61" s="99"/>
      <c r="HY61" s="99"/>
      <c r="HZ61" s="99"/>
      <c r="IA61" s="99"/>
      <c r="IB61" s="99"/>
      <c r="IC61" s="99"/>
      <c r="ID61" s="99"/>
      <c r="IE61" s="99"/>
      <c r="IF61" s="99"/>
      <c r="IG61" s="99"/>
      <c r="IH61" s="99"/>
      <c r="II61" s="99"/>
      <c r="IJ61" s="99"/>
      <c r="IT61" s="112"/>
    </row>
    <row r="62" spans="1:254" ht="18.75">
      <c r="B62" s="203" t="s">
        <v>145</v>
      </c>
      <c r="C62" s="292" t="s">
        <v>234</v>
      </c>
      <c r="D62" s="155" t="s">
        <v>560</v>
      </c>
      <c r="E62" s="259">
        <v>0.32</v>
      </c>
      <c r="F62" s="156"/>
      <c r="G62" s="273" t="s">
        <v>264</v>
      </c>
      <c r="H62" s="259">
        <v>0.32</v>
      </c>
      <c r="I62" s="273" t="s">
        <v>264</v>
      </c>
      <c r="J62" s="259">
        <v>0.32</v>
      </c>
      <c r="K62" s="273"/>
      <c r="L62" s="259"/>
      <c r="M62" s="273"/>
      <c r="N62" s="259"/>
      <c r="O62" s="144">
        <f>0.1*1.7*1.7</f>
        <v>0.28900000000000003</v>
      </c>
      <c r="P62" s="144"/>
      <c r="Q62" s="144"/>
      <c r="R62" s="144">
        <v>0.32</v>
      </c>
      <c r="S62" s="144">
        <f>R62-J62</f>
        <v>0</v>
      </c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99"/>
      <c r="CH62" s="99"/>
      <c r="CI62" s="99"/>
      <c r="CJ62" s="99"/>
      <c r="CK62" s="99"/>
      <c r="CL62" s="99"/>
      <c r="CM62" s="99"/>
      <c r="CN62" s="99"/>
      <c r="CO62" s="99"/>
      <c r="CP62" s="99"/>
      <c r="CQ62" s="99"/>
      <c r="CR62" s="99"/>
      <c r="CS62" s="99"/>
      <c r="CT62" s="99"/>
      <c r="CU62" s="99"/>
      <c r="CV62" s="99"/>
      <c r="CW62" s="99"/>
      <c r="CX62" s="99"/>
      <c r="CY62" s="99"/>
      <c r="CZ62" s="99"/>
      <c r="DA62" s="99"/>
      <c r="DB62" s="99"/>
      <c r="DC62" s="99"/>
      <c r="DD62" s="99"/>
      <c r="DE62" s="99"/>
      <c r="DF62" s="99"/>
      <c r="DG62" s="99"/>
      <c r="DH62" s="99"/>
      <c r="DI62" s="99"/>
      <c r="DJ62" s="99"/>
      <c r="DK62" s="99"/>
      <c r="DL62" s="99"/>
      <c r="DM62" s="99"/>
      <c r="DN62" s="99"/>
      <c r="DO62" s="99"/>
      <c r="DP62" s="99"/>
      <c r="DQ62" s="99"/>
      <c r="DR62" s="99"/>
      <c r="DS62" s="99"/>
      <c r="DT62" s="99"/>
      <c r="DU62" s="99"/>
      <c r="DV62" s="99"/>
      <c r="DW62" s="99"/>
      <c r="DX62" s="99"/>
      <c r="DY62" s="99"/>
      <c r="DZ62" s="99"/>
      <c r="EA62" s="99"/>
      <c r="EB62" s="99"/>
      <c r="EC62" s="99"/>
      <c r="ED62" s="99"/>
      <c r="EE62" s="99"/>
      <c r="EF62" s="99"/>
      <c r="EG62" s="99"/>
      <c r="EH62" s="99"/>
      <c r="EI62" s="99"/>
      <c r="EJ62" s="99"/>
      <c r="EK62" s="99"/>
      <c r="EL62" s="99"/>
      <c r="EM62" s="99"/>
      <c r="EN62" s="99"/>
      <c r="EO62" s="99"/>
      <c r="EP62" s="99"/>
      <c r="EQ62" s="99"/>
      <c r="ER62" s="99"/>
      <c r="ES62" s="99"/>
      <c r="ET62" s="99"/>
      <c r="EU62" s="99"/>
      <c r="EV62" s="99"/>
      <c r="EW62" s="99"/>
      <c r="EX62" s="99"/>
      <c r="EY62" s="99"/>
      <c r="EZ62" s="99"/>
      <c r="FA62" s="99"/>
      <c r="FB62" s="99"/>
      <c r="FC62" s="99"/>
      <c r="FD62" s="99"/>
      <c r="FE62" s="99"/>
      <c r="FF62" s="99"/>
      <c r="FG62" s="99"/>
      <c r="FH62" s="99"/>
      <c r="FI62" s="99"/>
      <c r="FJ62" s="99"/>
      <c r="FK62" s="99"/>
      <c r="FL62" s="99"/>
      <c r="FM62" s="99"/>
      <c r="FN62" s="99"/>
      <c r="FO62" s="99"/>
      <c r="FP62" s="99"/>
      <c r="FQ62" s="99"/>
      <c r="FR62" s="99"/>
      <c r="FS62" s="99"/>
      <c r="FT62" s="99"/>
      <c r="FU62" s="99"/>
      <c r="FV62" s="99"/>
      <c r="FW62" s="99"/>
      <c r="FX62" s="99"/>
      <c r="FY62" s="99"/>
      <c r="FZ62" s="99"/>
      <c r="GA62" s="99"/>
      <c r="GB62" s="99"/>
      <c r="GC62" s="99"/>
      <c r="GD62" s="99"/>
      <c r="GE62" s="99"/>
      <c r="GF62" s="99"/>
      <c r="GG62" s="99"/>
      <c r="GH62" s="99"/>
      <c r="GI62" s="99"/>
      <c r="GJ62" s="99"/>
      <c r="GK62" s="99"/>
      <c r="GL62" s="99"/>
      <c r="GM62" s="99"/>
      <c r="GN62" s="99"/>
      <c r="GO62" s="99"/>
      <c r="GP62" s="99"/>
      <c r="GQ62" s="99"/>
      <c r="GR62" s="99"/>
      <c r="GS62" s="99"/>
      <c r="GT62" s="99"/>
      <c r="GU62" s="99"/>
      <c r="GV62" s="99"/>
      <c r="GW62" s="99"/>
      <c r="GX62" s="99"/>
      <c r="GY62" s="99"/>
      <c r="GZ62" s="99"/>
      <c r="HA62" s="99"/>
      <c r="HB62" s="99"/>
      <c r="HC62" s="99"/>
      <c r="HD62" s="99"/>
      <c r="HE62" s="99"/>
      <c r="HF62" s="99"/>
      <c r="HG62" s="99"/>
      <c r="HH62" s="99"/>
      <c r="HI62" s="99"/>
      <c r="HJ62" s="99"/>
      <c r="HK62" s="99"/>
      <c r="HL62" s="99"/>
      <c r="HM62" s="99"/>
      <c r="HN62" s="99"/>
      <c r="HO62" s="99"/>
      <c r="HP62" s="99"/>
      <c r="HQ62" s="99"/>
      <c r="HR62" s="99"/>
      <c r="HS62" s="99"/>
      <c r="HT62" s="99"/>
      <c r="HU62" s="99"/>
      <c r="HV62" s="99"/>
      <c r="HW62" s="99"/>
      <c r="HX62" s="99"/>
      <c r="HY62" s="99"/>
      <c r="HZ62" s="99"/>
      <c r="IA62" s="99"/>
      <c r="IB62" s="99"/>
      <c r="IC62" s="99"/>
      <c r="ID62" s="99"/>
      <c r="IE62" s="99"/>
      <c r="IF62" s="99"/>
      <c r="IG62" s="99"/>
      <c r="IH62" s="99"/>
      <c r="II62" s="99"/>
      <c r="IJ62" s="99"/>
    </row>
    <row r="63" spans="1:254" ht="34.5">
      <c r="B63" s="207" t="s">
        <v>146</v>
      </c>
      <c r="C63" s="285" t="s">
        <v>312</v>
      </c>
      <c r="D63" s="137" t="s">
        <v>560</v>
      </c>
      <c r="E63" s="230">
        <v>3.07</v>
      </c>
      <c r="F63" s="158"/>
      <c r="G63" s="138" t="s">
        <v>264</v>
      </c>
      <c r="H63" s="230">
        <v>3.07</v>
      </c>
      <c r="I63" s="138" t="s">
        <v>264</v>
      </c>
      <c r="J63" s="230">
        <v>3.07</v>
      </c>
      <c r="K63" s="138"/>
      <c r="L63" s="230"/>
      <c r="M63" s="138"/>
      <c r="N63" s="230"/>
      <c r="O63" s="144">
        <f>1.5*1.5*0.6</f>
        <v>1.3499999999999999</v>
      </c>
      <c r="P63" s="144">
        <v>2.7</v>
      </c>
      <c r="Q63" s="144">
        <f>P63-K63</f>
        <v>2.7</v>
      </c>
      <c r="R63" s="144">
        <v>3.07</v>
      </c>
      <c r="S63" s="144">
        <f>R63-J63</f>
        <v>0</v>
      </c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99"/>
      <c r="CD63" s="99"/>
      <c r="CE63" s="99"/>
      <c r="CF63" s="99"/>
      <c r="CG63" s="99"/>
      <c r="CH63" s="99"/>
      <c r="CI63" s="99"/>
      <c r="CJ63" s="99"/>
      <c r="CK63" s="99"/>
      <c r="CL63" s="99"/>
      <c r="CM63" s="99"/>
      <c r="CN63" s="99"/>
      <c r="CO63" s="99"/>
      <c r="CP63" s="99"/>
      <c r="CQ63" s="99"/>
      <c r="CR63" s="99"/>
      <c r="CS63" s="99"/>
      <c r="CT63" s="99"/>
      <c r="CU63" s="99"/>
      <c r="CV63" s="99"/>
      <c r="CW63" s="99"/>
      <c r="CX63" s="99"/>
      <c r="CY63" s="99"/>
      <c r="CZ63" s="99"/>
      <c r="DA63" s="99"/>
      <c r="DB63" s="99"/>
      <c r="DC63" s="99"/>
      <c r="DD63" s="99"/>
      <c r="DE63" s="99"/>
      <c r="DF63" s="99"/>
      <c r="DG63" s="99"/>
      <c r="DH63" s="99"/>
      <c r="DI63" s="99"/>
      <c r="DJ63" s="99"/>
      <c r="DK63" s="99"/>
      <c r="DL63" s="99"/>
      <c r="DM63" s="99"/>
      <c r="DN63" s="99"/>
      <c r="DO63" s="99"/>
      <c r="DP63" s="99"/>
      <c r="DQ63" s="99"/>
      <c r="DR63" s="99"/>
      <c r="DS63" s="99"/>
      <c r="DT63" s="99"/>
      <c r="DU63" s="99"/>
      <c r="DV63" s="99"/>
      <c r="DW63" s="99"/>
      <c r="DX63" s="99"/>
      <c r="DY63" s="99"/>
      <c r="DZ63" s="99"/>
      <c r="EA63" s="99"/>
      <c r="EB63" s="99"/>
      <c r="EC63" s="99"/>
      <c r="ED63" s="99"/>
      <c r="EE63" s="99"/>
      <c r="EF63" s="99"/>
      <c r="EG63" s="99"/>
      <c r="EH63" s="99"/>
      <c r="EI63" s="99"/>
      <c r="EJ63" s="99"/>
      <c r="EK63" s="99"/>
      <c r="EL63" s="99"/>
      <c r="EM63" s="99"/>
      <c r="EN63" s="99"/>
      <c r="EO63" s="99"/>
      <c r="EP63" s="99"/>
      <c r="EQ63" s="99"/>
      <c r="ER63" s="99"/>
      <c r="ES63" s="99"/>
      <c r="ET63" s="99"/>
      <c r="EU63" s="99"/>
      <c r="EV63" s="99"/>
      <c r="EW63" s="99"/>
      <c r="EX63" s="99"/>
      <c r="EY63" s="99"/>
      <c r="EZ63" s="99"/>
      <c r="FA63" s="99"/>
      <c r="FB63" s="99"/>
      <c r="FC63" s="99"/>
      <c r="FD63" s="99"/>
      <c r="FE63" s="99"/>
      <c r="FF63" s="99"/>
      <c r="FG63" s="99"/>
      <c r="FH63" s="99"/>
      <c r="FI63" s="99"/>
      <c r="FJ63" s="99"/>
      <c r="FK63" s="99"/>
      <c r="FL63" s="99"/>
      <c r="FM63" s="99"/>
      <c r="FN63" s="99"/>
      <c r="FO63" s="99"/>
      <c r="FP63" s="99"/>
      <c r="FQ63" s="99"/>
      <c r="FR63" s="99"/>
      <c r="FS63" s="99"/>
      <c r="FT63" s="99"/>
      <c r="FU63" s="99"/>
      <c r="FV63" s="99"/>
      <c r="FW63" s="99"/>
      <c r="FX63" s="99"/>
      <c r="FY63" s="99"/>
      <c r="FZ63" s="99"/>
      <c r="GA63" s="99"/>
      <c r="GB63" s="99"/>
      <c r="GC63" s="99"/>
      <c r="GD63" s="99"/>
      <c r="GE63" s="99"/>
      <c r="GF63" s="99"/>
      <c r="GG63" s="99"/>
      <c r="GH63" s="99"/>
      <c r="GI63" s="99"/>
      <c r="GJ63" s="99"/>
      <c r="GK63" s="99"/>
      <c r="GL63" s="99"/>
      <c r="GM63" s="99"/>
      <c r="GN63" s="99"/>
      <c r="GO63" s="99"/>
      <c r="GP63" s="99"/>
      <c r="GQ63" s="99"/>
      <c r="GR63" s="99"/>
      <c r="GS63" s="99"/>
      <c r="GT63" s="99"/>
      <c r="GU63" s="99"/>
      <c r="GV63" s="99"/>
      <c r="GW63" s="99"/>
      <c r="GX63" s="99"/>
      <c r="GY63" s="99"/>
      <c r="GZ63" s="99"/>
      <c r="HA63" s="99"/>
      <c r="HB63" s="99"/>
      <c r="HC63" s="99"/>
      <c r="HD63" s="99"/>
      <c r="HE63" s="99"/>
      <c r="HF63" s="99"/>
      <c r="HG63" s="99"/>
      <c r="HH63" s="99"/>
      <c r="HI63" s="99"/>
      <c r="HJ63" s="99"/>
      <c r="HK63" s="99"/>
      <c r="HL63" s="99"/>
      <c r="HM63" s="99"/>
      <c r="HN63" s="99"/>
      <c r="HO63" s="99"/>
      <c r="HP63" s="99"/>
      <c r="HQ63" s="99"/>
      <c r="HR63" s="99"/>
      <c r="HS63" s="99"/>
      <c r="HT63" s="99"/>
      <c r="HU63" s="99"/>
      <c r="HV63" s="99"/>
      <c r="HW63" s="99"/>
      <c r="HX63" s="99"/>
      <c r="HY63" s="99"/>
      <c r="HZ63" s="99"/>
      <c r="IA63" s="99"/>
      <c r="IB63" s="99"/>
      <c r="IC63" s="99"/>
      <c r="ID63" s="99"/>
      <c r="IE63" s="99"/>
      <c r="IF63" s="99"/>
      <c r="IG63" s="99"/>
      <c r="IH63" s="99"/>
      <c r="II63" s="99"/>
      <c r="IJ63" s="99"/>
      <c r="IT63" s="112" t="s">
        <v>235</v>
      </c>
    </row>
    <row r="64" spans="1:254" ht="31.5">
      <c r="B64" s="207" t="s">
        <v>147</v>
      </c>
      <c r="C64" s="293" t="s">
        <v>315</v>
      </c>
      <c r="D64" s="136" t="s">
        <v>141</v>
      </c>
      <c r="E64" s="223">
        <v>0.15</v>
      </c>
      <c r="F64" s="160"/>
      <c r="G64" s="159" t="s">
        <v>264</v>
      </c>
      <c r="H64" s="223">
        <v>0.15</v>
      </c>
      <c r="I64" s="159" t="s">
        <v>264</v>
      </c>
      <c r="J64" s="223">
        <v>0.15</v>
      </c>
      <c r="K64" s="159"/>
      <c r="L64" s="223"/>
      <c r="M64" s="159"/>
      <c r="N64" s="223"/>
      <c r="O64" s="144">
        <f>149.6/1000</f>
        <v>0.14959999999999998</v>
      </c>
      <c r="P64" s="144"/>
      <c r="Q64" s="144"/>
      <c r="R64" s="144"/>
      <c r="S64" s="144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  <c r="BO64" s="99"/>
      <c r="BP64" s="99"/>
      <c r="BQ64" s="99"/>
      <c r="BR64" s="99"/>
      <c r="BS64" s="99"/>
      <c r="BT64" s="99"/>
      <c r="BU64" s="99"/>
      <c r="BV64" s="99"/>
      <c r="BW64" s="99"/>
      <c r="BX64" s="99"/>
      <c r="BY64" s="99"/>
      <c r="BZ64" s="99"/>
      <c r="CA64" s="99"/>
      <c r="CB64" s="99"/>
      <c r="CC64" s="99"/>
      <c r="CD64" s="99"/>
      <c r="CE64" s="99"/>
      <c r="CF64" s="99"/>
      <c r="CG64" s="99"/>
      <c r="CH64" s="99"/>
      <c r="CI64" s="99"/>
      <c r="CJ64" s="99"/>
      <c r="CK64" s="99"/>
      <c r="CL64" s="99"/>
      <c r="CM64" s="99"/>
      <c r="CN64" s="99"/>
      <c r="CO64" s="99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99"/>
      <c r="DA64" s="99"/>
      <c r="DB64" s="99"/>
      <c r="DC64" s="99"/>
      <c r="DD64" s="99"/>
      <c r="DE64" s="99"/>
      <c r="DF64" s="99"/>
      <c r="DG64" s="99"/>
      <c r="DH64" s="99"/>
      <c r="DI64" s="99"/>
      <c r="DJ64" s="99"/>
      <c r="DK64" s="99"/>
      <c r="DL64" s="99"/>
      <c r="DM64" s="99"/>
      <c r="DN64" s="99"/>
      <c r="DO64" s="99"/>
      <c r="DP64" s="99"/>
      <c r="DQ64" s="99"/>
      <c r="DR64" s="99"/>
      <c r="DS64" s="99"/>
      <c r="DT64" s="99"/>
      <c r="DU64" s="99"/>
      <c r="DV64" s="99"/>
      <c r="DW64" s="99"/>
      <c r="DX64" s="99"/>
      <c r="DY64" s="99"/>
      <c r="DZ64" s="99"/>
      <c r="EA64" s="99"/>
      <c r="EB64" s="99"/>
      <c r="EC64" s="99"/>
      <c r="ED64" s="99"/>
      <c r="EE64" s="99"/>
      <c r="EF64" s="99"/>
      <c r="EG64" s="99"/>
      <c r="EH64" s="99"/>
      <c r="EI64" s="99"/>
      <c r="EJ64" s="99"/>
      <c r="EK64" s="99"/>
      <c r="EL64" s="99"/>
      <c r="EM64" s="99"/>
      <c r="EN64" s="99"/>
      <c r="EO64" s="99"/>
      <c r="EP64" s="99"/>
      <c r="EQ64" s="99"/>
      <c r="ER64" s="99"/>
      <c r="ES64" s="99"/>
      <c r="ET64" s="99"/>
      <c r="EU64" s="99"/>
      <c r="EV64" s="99"/>
      <c r="EW64" s="99"/>
      <c r="EX64" s="99"/>
      <c r="EY64" s="99"/>
      <c r="EZ64" s="99"/>
      <c r="FA64" s="99"/>
      <c r="FB64" s="99"/>
      <c r="FC64" s="99"/>
      <c r="FD64" s="99"/>
      <c r="FE64" s="99"/>
      <c r="FF64" s="99"/>
      <c r="FG64" s="99"/>
      <c r="FH64" s="99"/>
      <c r="FI64" s="99"/>
      <c r="FJ64" s="99"/>
      <c r="FK64" s="99"/>
      <c r="FL64" s="99"/>
      <c r="FM64" s="99"/>
      <c r="FN64" s="99"/>
      <c r="FO64" s="99"/>
      <c r="FP64" s="99"/>
      <c r="FQ64" s="99"/>
      <c r="FR64" s="99"/>
      <c r="FS64" s="99"/>
      <c r="FT64" s="99"/>
      <c r="FU64" s="99"/>
      <c r="FV64" s="99"/>
      <c r="FW64" s="99"/>
      <c r="FX64" s="99"/>
      <c r="FY64" s="99"/>
      <c r="FZ64" s="99"/>
      <c r="GA64" s="99"/>
      <c r="GB64" s="99"/>
      <c r="GC64" s="99"/>
      <c r="GD64" s="99"/>
      <c r="GE64" s="99"/>
      <c r="GF64" s="99"/>
      <c r="GG64" s="99"/>
      <c r="GH64" s="99"/>
      <c r="GI64" s="99"/>
      <c r="GJ64" s="99"/>
      <c r="GK64" s="99"/>
      <c r="GL64" s="99"/>
      <c r="GM64" s="99"/>
      <c r="GN64" s="99"/>
      <c r="GO64" s="99"/>
      <c r="GP64" s="99"/>
      <c r="GQ64" s="99"/>
      <c r="GR64" s="99"/>
      <c r="GS64" s="99"/>
      <c r="GT64" s="99"/>
      <c r="GU64" s="99"/>
      <c r="GV64" s="99"/>
      <c r="GW64" s="99"/>
      <c r="GX64" s="99"/>
      <c r="GY64" s="99"/>
      <c r="GZ64" s="99"/>
      <c r="HA64" s="99"/>
      <c r="HB64" s="99"/>
      <c r="HC64" s="99"/>
      <c r="HD64" s="99"/>
      <c r="HE64" s="99"/>
      <c r="HF64" s="99"/>
      <c r="HG64" s="99"/>
      <c r="HH64" s="99"/>
      <c r="HI64" s="99"/>
      <c r="HJ64" s="99"/>
      <c r="HK64" s="99"/>
      <c r="HL64" s="99"/>
      <c r="HM64" s="99"/>
      <c r="HN64" s="99"/>
      <c r="HO64" s="99"/>
      <c r="HP64" s="99"/>
      <c r="HQ64" s="99"/>
      <c r="HR64" s="99"/>
      <c r="HS64" s="99"/>
      <c r="HT64" s="99"/>
      <c r="HU64" s="99"/>
      <c r="HV64" s="99"/>
      <c r="HW64" s="99"/>
      <c r="HX64" s="99"/>
      <c r="HY64" s="99"/>
      <c r="HZ64" s="99"/>
      <c r="IA64" s="99"/>
      <c r="IB64" s="99"/>
      <c r="IC64" s="99"/>
      <c r="ID64" s="99"/>
      <c r="IE64" s="99"/>
      <c r="IF64" s="99"/>
      <c r="IG64" s="99"/>
      <c r="IH64" s="99"/>
      <c r="II64" s="99"/>
      <c r="IJ64" s="99"/>
      <c r="IT64" s="112"/>
    </row>
    <row r="65" spans="1:254" ht="47.25">
      <c r="B65" s="207" t="s">
        <v>153</v>
      </c>
      <c r="C65" s="292" t="s">
        <v>373</v>
      </c>
      <c r="D65" s="155" t="s">
        <v>141</v>
      </c>
      <c r="E65" s="159">
        <v>2E-3</v>
      </c>
      <c r="F65" s="161"/>
      <c r="G65" s="159" t="s">
        <v>264</v>
      </c>
      <c r="H65" s="159">
        <v>2E-3</v>
      </c>
      <c r="I65" s="159" t="s">
        <v>264</v>
      </c>
      <c r="J65" s="159">
        <v>2E-3</v>
      </c>
      <c r="K65" s="211"/>
      <c r="L65" s="159"/>
      <c r="M65" s="211"/>
      <c r="N65" s="159"/>
      <c r="O65" s="144">
        <f>18.32/1000</f>
        <v>1.8319999999999999E-2</v>
      </c>
      <c r="P65" s="144">
        <f>2.16/1000</f>
        <v>2.16E-3</v>
      </c>
      <c r="Q65" s="144">
        <f>P65-O65</f>
        <v>-1.6160000000000001E-2</v>
      </c>
      <c r="R65" s="144"/>
      <c r="S65" s="144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99"/>
      <c r="CD65" s="99"/>
      <c r="CE65" s="99"/>
      <c r="CF65" s="99"/>
      <c r="CG65" s="99"/>
      <c r="CH65" s="99"/>
      <c r="CI65" s="99"/>
      <c r="CJ65" s="99"/>
      <c r="CK65" s="99"/>
      <c r="CL65" s="99"/>
      <c r="CM65" s="99"/>
      <c r="CN65" s="99"/>
      <c r="CO65" s="99"/>
      <c r="CP65" s="99"/>
      <c r="CQ65" s="99"/>
      <c r="CR65" s="99"/>
      <c r="CS65" s="99"/>
      <c r="CT65" s="99"/>
      <c r="CU65" s="99"/>
      <c r="CV65" s="99"/>
      <c r="CW65" s="99"/>
      <c r="CX65" s="99"/>
      <c r="CY65" s="99"/>
      <c r="CZ65" s="99"/>
      <c r="DA65" s="99"/>
      <c r="DB65" s="99"/>
      <c r="DC65" s="99"/>
      <c r="DD65" s="99"/>
      <c r="DE65" s="99"/>
      <c r="DF65" s="99"/>
      <c r="DG65" s="99"/>
      <c r="DH65" s="99"/>
      <c r="DI65" s="99"/>
      <c r="DJ65" s="99"/>
      <c r="DK65" s="99"/>
      <c r="DL65" s="99"/>
      <c r="DM65" s="99"/>
      <c r="DN65" s="99"/>
      <c r="DO65" s="99"/>
      <c r="DP65" s="99"/>
      <c r="DQ65" s="99"/>
      <c r="DR65" s="99"/>
      <c r="DS65" s="99"/>
      <c r="DT65" s="99"/>
      <c r="DU65" s="99"/>
      <c r="DV65" s="99"/>
      <c r="DW65" s="99"/>
      <c r="DX65" s="99"/>
      <c r="DY65" s="99"/>
      <c r="DZ65" s="99"/>
      <c r="EA65" s="99"/>
      <c r="EB65" s="99"/>
      <c r="EC65" s="99"/>
      <c r="ED65" s="99"/>
      <c r="EE65" s="99"/>
      <c r="EF65" s="99"/>
      <c r="EG65" s="99"/>
      <c r="EH65" s="99"/>
      <c r="EI65" s="99"/>
      <c r="EJ65" s="99"/>
      <c r="EK65" s="99"/>
      <c r="EL65" s="99"/>
      <c r="EM65" s="99"/>
      <c r="EN65" s="99"/>
      <c r="EO65" s="99"/>
      <c r="EP65" s="99"/>
      <c r="EQ65" s="99"/>
      <c r="ER65" s="99"/>
      <c r="ES65" s="99"/>
      <c r="ET65" s="99"/>
      <c r="EU65" s="99"/>
      <c r="EV65" s="99"/>
      <c r="EW65" s="99"/>
      <c r="EX65" s="99"/>
      <c r="EY65" s="99"/>
      <c r="EZ65" s="99"/>
      <c r="FA65" s="99"/>
      <c r="FB65" s="99"/>
      <c r="FC65" s="99"/>
      <c r="FD65" s="99"/>
      <c r="FE65" s="99"/>
      <c r="FF65" s="99"/>
      <c r="FG65" s="99"/>
      <c r="FH65" s="99"/>
      <c r="FI65" s="99"/>
      <c r="FJ65" s="99"/>
      <c r="FK65" s="99"/>
      <c r="FL65" s="99"/>
      <c r="FM65" s="99"/>
      <c r="FN65" s="99"/>
      <c r="FO65" s="99"/>
      <c r="FP65" s="99"/>
      <c r="FQ65" s="99"/>
      <c r="FR65" s="99"/>
      <c r="FS65" s="99"/>
      <c r="FT65" s="99"/>
      <c r="FU65" s="99"/>
      <c r="FV65" s="99"/>
      <c r="FW65" s="99"/>
      <c r="FX65" s="99"/>
      <c r="FY65" s="99"/>
      <c r="FZ65" s="99"/>
      <c r="GA65" s="99"/>
      <c r="GB65" s="99"/>
      <c r="GC65" s="99"/>
      <c r="GD65" s="99"/>
      <c r="GE65" s="99"/>
      <c r="GF65" s="99"/>
      <c r="GG65" s="99"/>
      <c r="GH65" s="99"/>
      <c r="GI65" s="99"/>
      <c r="GJ65" s="99"/>
      <c r="GK65" s="99"/>
      <c r="GL65" s="99"/>
      <c r="GM65" s="99"/>
      <c r="GN65" s="99"/>
      <c r="GO65" s="99"/>
      <c r="GP65" s="99"/>
      <c r="GQ65" s="99"/>
      <c r="GR65" s="99"/>
      <c r="GS65" s="99"/>
      <c r="GT65" s="99"/>
      <c r="GU65" s="99"/>
      <c r="GV65" s="99"/>
      <c r="GW65" s="99"/>
      <c r="GX65" s="99"/>
      <c r="GY65" s="99"/>
      <c r="GZ65" s="99"/>
      <c r="HA65" s="99"/>
      <c r="HB65" s="99"/>
      <c r="HC65" s="99"/>
      <c r="HD65" s="99"/>
      <c r="HE65" s="99"/>
      <c r="HF65" s="99"/>
      <c r="HG65" s="99"/>
      <c r="HH65" s="99"/>
      <c r="HI65" s="99"/>
      <c r="HJ65" s="99"/>
      <c r="HK65" s="99"/>
      <c r="HL65" s="99"/>
      <c r="HM65" s="99"/>
      <c r="HN65" s="99"/>
      <c r="HO65" s="99"/>
      <c r="HP65" s="99"/>
      <c r="HQ65" s="99"/>
      <c r="HR65" s="99"/>
      <c r="HS65" s="99"/>
      <c r="HT65" s="99"/>
      <c r="HU65" s="99"/>
      <c r="HV65" s="99"/>
      <c r="HW65" s="99"/>
      <c r="HX65" s="99"/>
      <c r="HY65" s="99"/>
      <c r="HZ65" s="99"/>
      <c r="IA65" s="99"/>
      <c r="IB65" s="99"/>
      <c r="IC65" s="99"/>
      <c r="ID65" s="99"/>
      <c r="IE65" s="99"/>
      <c r="IF65" s="99"/>
      <c r="IG65" s="99"/>
      <c r="IH65" s="99"/>
      <c r="II65" s="99"/>
      <c r="IJ65" s="99"/>
      <c r="IT65" s="112"/>
    </row>
    <row r="66" spans="1:254">
      <c r="B66" s="207" t="s">
        <v>154</v>
      </c>
      <c r="C66" s="294" t="s">
        <v>237</v>
      </c>
      <c r="D66" s="137" t="s">
        <v>165</v>
      </c>
      <c r="E66" s="230" t="s">
        <v>238</v>
      </c>
      <c r="F66" s="158"/>
      <c r="G66" s="252" t="s">
        <v>557</v>
      </c>
      <c r="H66" s="230" t="s">
        <v>238</v>
      </c>
      <c r="I66" s="252" t="s">
        <v>557</v>
      </c>
      <c r="J66" s="230" t="s">
        <v>238</v>
      </c>
      <c r="K66" s="252"/>
      <c r="L66" s="230"/>
      <c r="M66" s="252"/>
      <c r="N66" s="230"/>
      <c r="O66" s="144">
        <f>19.27*4/1000</f>
        <v>7.7079999999999996E-2</v>
      </c>
      <c r="P66" s="144"/>
      <c r="Q66" s="144"/>
      <c r="R66" s="144"/>
      <c r="S66" s="144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99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99"/>
      <c r="DA66" s="99"/>
      <c r="DB66" s="99"/>
      <c r="DC66" s="99"/>
      <c r="DD66" s="99"/>
      <c r="DE66" s="99"/>
      <c r="DF66" s="99"/>
      <c r="DG66" s="99"/>
      <c r="DH66" s="99"/>
      <c r="DI66" s="99"/>
      <c r="DJ66" s="99"/>
      <c r="DK66" s="99"/>
      <c r="DL66" s="99"/>
      <c r="DM66" s="99"/>
      <c r="DN66" s="99"/>
      <c r="DO66" s="99"/>
      <c r="DP66" s="99"/>
      <c r="DQ66" s="99"/>
      <c r="DR66" s="99"/>
      <c r="DS66" s="99"/>
      <c r="DT66" s="99"/>
      <c r="DU66" s="99"/>
      <c r="DV66" s="99"/>
      <c r="DW66" s="99"/>
      <c r="DX66" s="99"/>
      <c r="DY66" s="99"/>
      <c r="DZ66" s="99"/>
      <c r="EA66" s="99"/>
      <c r="EB66" s="99"/>
      <c r="EC66" s="99"/>
      <c r="ED66" s="99"/>
      <c r="EE66" s="99"/>
      <c r="EF66" s="99"/>
      <c r="EG66" s="99"/>
      <c r="EH66" s="99"/>
      <c r="EI66" s="99"/>
      <c r="EJ66" s="99"/>
      <c r="EK66" s="99"/>
      <c r="EL66" s="99"/>
      <c r="EM66" s="99"/>
      <c r="EN66" s="99"/>
      <c r="EO66" s="99"/>
      <c r="EP66" s="99"/>
      <c r="EQ66" s="99"/>
      <c r="ER66" s="99"/>
      <c r="ES66" s="99"/>
      <c r="ET66" s="99"/>
      <c r="EU66" s="99"/>
      <c r="EV66" s="99"/>
      <c r="EW66" s="99"/>
      <c r="EX66" s="99"/>
      <c r="EY66" s="99"/>
      <c r="EZ66" s="99"/>
      <c r="FA66" s="99"/>
      <c r="FB66" s="99"/>
      <c r="FC66" s="99"/>
      <c r="FD66" s="99"/>
      <c r="FE66" s="99"/>
      <c r="FF66" s="99"/>
      <c r="FG66" s="99"/>
      <c r="FH66" s="99"/>
      <c r="FI66" s="99"/>
      <c r="FJ66" s="99"/>
      <c r="FK66" s="99"/>
      <c r="FL66" s="99"/>
      <c r="FM66" s="99"/>
      <c r="FN66" s="99"/>
      <c r="FO66" s="99"/>
      <c r="FP66" s="99"/>
      <c r="FQ66" s="99"/>
      <c r="FR66" s="99"/>
      <c r="FS66" s="99"/>
      <c r="FT66" s="99"/>
      <c r="FU66" s="99"/>
      <c r="FV66" s="99"/>
      <c r="FW66" s="99"/>
      <c r="FX66" s="99"/>
      <c r="FY66" s="99"/>
      <c r="FZ66" s="99"/>
      <c r="GA66" s="99"/>
      <c r="GB66" s="99"/>
      <c r="GC66" s="99"/>
      <c r="GD66" s="99"/>
      <c r="GE66" s="99"/>
      <c r="GF66" s="99"/>
      <c r="GG66" s="99"/>
      <c r="GH66" s="99"/>
      <c r="GI66" s="99"/>
      <c r="GJ66" s="99"/>
      <c r="GK66" s="99"/>
      <c r="GL66" s="99"/>
      <c r="GM66" s="99"/>
      <c r="GN66" s="99"/>
      <c r="GO66" s="99"/>
      <c r="GP66" s="99"/>
      <c r="GQ66" s="99"/>
      <c r="GR66" s="99"/>
      <c r="GS66" s="99"/>
      <c r="GT66" s="99"/>
      <c r="GU66" s="99"/>
      <c r="GV66" s="99"/>
      <c r="GW66" s="99"/>
      <c r="GX66" s="99"/>
      <c r="GY66" s="99"/>
      <c r="GZ66" s="99"/>
      <c r="HA66" s="99"/>
      <c r="HB66" s="99"/>
      <c r="HC66" s="99"/>
      <c r="HD66" s="99"/>
      <c r="HE66" s="99"/>
      <c r="HF66" s="99"/>
      <c r="HG66" s="99"/>
      <c r="HH66" s="99"/>
      <c r="HI66" s="99"/>
      <c r="HJ66" s="99"/>
      <c r="HK66" s="99"/>
      <c r="HL66" s="99"/>
      <c r="HM66" s="99"/>
      <c r="HN66" s="99"/>
      <c r="HO66" s="99"/>
      <c r="HP66" s="99"/>
      <c r="HQ66" s="99"/>
      <c r="HR66" s="99"/>
      <c r="HS66" s="99"/>
      <c r="HT66" s="99"/>
      <c r="HU66" s="99"/>
      <c r="HV66" s="99"/>
      <c r="HW66" s="99"/>
      <c r="HX66" s="99"/>
      <c r="HY66" s="99"/>
      <c r="HZ66" s="99"/>
      <c r="IA66" s="99"/>
      <c r="IB66" s="99"/>
      <c r="IC66" s="99"/>
      <c r="ID66" s="99"/>
      <c r="IE66" s="99"/>
      <c r="IF66" s="99"/>
      <c r="IG66" s="99"/>
      <c r="IH66" s="99"/>
      <c r="II66" s="99"/>
      <c r="IJ66" s="99"/>
      <c r="IT66" s="112"/>
    </row>
    <row r="67" spans="1:254" ht="34.5">
      <c r="B67" s="213" t="s">
        <v>180</v>
      </c>
      <c r="C67" s="300" t="s">
        <v>242</v>
      </c>
      <c r="D67" s="155" t="s">
        <v>560</v>
      </c>
      <c r="E67" s="259">
        <v>0.06</v>
      </c>
      <c r="F67" s="155"/>
      <c r="G67" s="211" t="s">
        <v>264</v>
      </c>
      <c r="H67" s="259">
        <v>0.06</v>
      </c>
      <c r="I67" s="211" t="s">
        <v>264</v>
      </c>
      <c r="J67" s="259">
        <v>0.06</v>
      </c>
      <c r="K67" s="211"/>
      <c r="L67" s="259"/>
      <c r="M67" s="211"/>
      <c r="N67" s="259"/>
      <c r="O67" s="144">
        <f>0.9*0.9</f>
        <v>0.81</v>
      </c>
      <c r="P67" s="144"/>
      <c r="Q67" s="144"/>
      <c r="R67" s="144"/>
      <c r="S67" s="144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99"/>
      <c r="CD67" s="99"/>
      <c r="CE67" s="99"/>
      <c r="CF67" s="99"/>
      <c r="CG67" s="99"/>
      <c r="CH67" s="99"/>
      <c r="CI67" s="99"/>
      <c r="CJ67" s="99"/>
      <c r="CK67" s="99"/>
      <c r="CL67" s="99"/>
      <c r="CM67" s="99"/>
      <c r="CN67" s="99"/>
      <c r="CO67" s="99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99"/>
      <c r="DA67" s="99"/>
      <c r="DB67" s="99"/>
      <c r="DC67" s="99"/>
      <c r="DD67" s="99"/>
      <c r="DE67" s="99"/>
      <c r="DF67" s="99"/>
      <c r="DG67" s="99"/>
      <c r="DH67" s="99"/>
      <c r="DI67" s="99"/>
      <c r="DJ67" s="99"/>
      <c r="DK67" s="99"/>
      <c r="DL67" s="99"/>
      <c r="DM67" s="99"/>
      <c r="DN67" s="99"/>
      <c r="DO67" s="99"/>
      <c r="DP67" s="99"/>
      <c r="DQ67" s="99"/>
      <c r="DR67" s="99"/>
      <c r="DS67" s="99"/>
      <c r="DT67" s="99"/>
      <c r="DU67" s="99"/>
      <c r="DV67" s="99"/>
      <c r="DW67" s="99"/>
      <c r="DX67" s="99"/>
      <c r="DY67" s="99"/>
      <c r="DZ67" s="99"/>
      <c r="EA67" s="99"/>
      <c r="EB67" s="99"/>
      <c r="EC67" s="99"/>
      <c r="ED67" s="99"/>
      <c r="EE67" s="99"/>
      <c r="EF67" s="99"/>
      <c r="EG67" s="99"/>
      <c r="EH67" s="99"/>
      <c r="EI67" s="99"/>
      <c r="EJ67" s="99"/>
      <c r="EK67" s="99"/>
      <c r="EL67" s="99"/>
      <c r="EM67" s="99"/>
      <c r="EN67" s="99"/>
      <c r="EO67" s="99"/>
      <c r="EP67" s="99"/>
      <c r="EQ67" s="99"/>
      <c r="ER67" s="99"/>
      <c r="ES67" s="99"/>
      <c r="ET67" s="99"/>
      <c r="EU67" s="99"/>
      <c r="EV67" s="99"/>
      <c r="EW67" s="99"/>
      <c r="EX67" s="99"/>
      <c r="EY67" s="99"/>
      <c r="EZ67" s="99"/>
      <c r="FA67" s="99"/>
      <c r="FB67" s="99"/>
      <c r="FC67" s="99"/>
      <c r="FD67" s="99"/>
      <c r="FE67" s="99"/>
      <c r="FF67" s="99"/>
      <c r="FG67" s="99"/>
      <c r="FH67" s="99"/>
      <c r="FI67" s="99"/>
      <c r="FJ67" s="99"/>
      <c r="FK67" s="99"/>
      <c r="FL67" s="99"/>
      <c r="FM67" s="99"/>
      <c r="FN67" s="99"/>
      <c r="FO67" s="99"/>
      <c r="FP67" s="99"/>
      <c r="FQ67" s="99"/>
      <c r="FR67" s="99"/>
      <c r="FS67" s="99"/>
      <c r="FT67" s="99"/>
      <c r="FU67" s="99"/>
      <c r="FV67" s="99"/>
      <c r="FW67" s="99"/>
      <c r="FX67" s="99"/>
      <c r="FY67" s="99"/>
      <c r="FZ67" s="99"/>
      <c r="GA67" s="99"/>
      <c r="GB67" s="99"/>
      <c r="GC67" s="99"/>
      <c r="GD67" s="99"/>
      <c r="GE67" s="99"/>
      <c r="GF67" s="99"/>
      <c r="GG67" s="99"/>
      <c r="GH67" s="99"/>
      <c r="GI67" s="99"/>
      <c r="GJ67" s="99"/>
      <c r="GK67" s="99"/>
      <c r="GL67" s="99"/>
      <c r="GM67" s="99"/>
      <c r="GN67" s="99"/>
      <c r="GO67" s="99"/>
      <c r="GP67" s="99"/>
      <c r="GQ67" s="99"/>
      <c r="GR67" s="99"/>
      <c r="GS67" s="99"/>
      <c r="GT67" s="99"/>
      <c r="GU67" s="99"/>
      <c r="GV67" s="99"/>
      <c r="GW67" s="99"/>
      <c r="GX67" s="99"/>
      <c r="GY67" s="99"/>
      <c r="GZ67" s="99"/>
      <c r="HA67" s="99"/>
      <c r="HB67" s="99"/>
      <c r="HC67" s="99"/>
      <c r="HD67" s="99"/>
      <c r="HE67" s="99"/>
      <c r="HF67" s="99"/>
      <c r="HG67" s="99"/>
      <c r="HH67" s="99"/>
      <c r="HI67" s="99"/>
      <c r="HJ67" s="99"/>
      <c r="HK67" s="99"/>
      <c r="HL67" s="99"/>
      <c r="HM67" s="99"/>
      <c r="HN67" s="99"/>
      <c r="HO67" s="99"/>
      <c r="HP67" s="99"/>
      <c r="HQ67" s="99"/>
      <c r="HR67" s="99"/>
      <c r="HS67" s="99"/>
      <c r="HT67" s="99"/>
      <c r="HU67" s="99"/>
      <c r="HV67" s="99"/>
      <c r="HW67" s="99"/>
      <c r="HX67" s="99"/>
      <c r="HY67" s="99"/>
      <c r="HZ67" s="99"/>
      <c r="IA67" s="99"/>
      <c r="IB67" s="99"/>
      <c r="IC67" s="99"/>
      <c r="ID67" s="99"/>
      <c r="IE67" s="99"/>
      <c r="IF67" s="99"/>
      <c r="IG67" s="99"/>
      <c r="IH67" s="99"/>
      <c r="II67" s="99"/>
      <c r="IJ67" s="99"/>
      <c r="IT67" s="112"/>
    </row>
    <row r="68" spans="1:254" ht="47.25">
      <c r="B68" s="213" t="s">
        <v>181</v>
      </c>
      <c r="C68" s="301" t="s">
        <v>236</v>
      </c>
      <c r="D68" s="188" t="s">
        <v>563</v>
      </c>
      <c r="E68" s="231">
        <v>10.08</v>
      </c>
      <c r="F68" s="163"/>
      <c r="G68" s="215" t="s">
        <v>264</v>
      </c>
      <c r="H68" s="231">
        <v>10.08</v>
      </c>
      <c r="I68" s="215" t="s">
        <v>264</v>
      </c>
      <c r="J68" s="231">
        <v>10.08</v>
      </c>
      <c r="K68" s="215"/>
      <c r="L68" s="231"/>
      <c r="M68" s="215"/>
      <c r="N68" s="231"/>
      <c r="O68" s="144">
        <f>1.2*(1.5*4)+1.5*1.5</f>
        <v>9.4499999999999993</v>
      </c>
      <c r="P68" s="144"/>
      <c r="Q68" s="144"/>
      <c r="R68" s="144">
        <f>1.2*(1.6*4)+1.6*1.5</f>
        <v>10.08</v>
      </c>
      <c r="S68" s="144">
        <f>R68-Q68</f>
        <v>10.08</v>
      </c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  <c r="CM68" s="99"/>
      <c r="CN68" s="99"/>
      <c r="CO68" s="99"/>
      <c r="CP68" s="99"/>
      <c r="CQ68" s="99"/>
      <c r="CR68" s="99"/>
      <c r="CS68" s="99"/>
      <c r="CT68" s="99"/>
      <c r="CU68" s="99"/>
      <c r="CV68" s="99"/>
      <c r="CW68" s="99"/>
      <c r="CX68" s="99"/>
      <c r="CY68" s="99"/>
      <c r="CZ68" s="99"/>
      <c r="DA68" s="99"/>
      <c r="DB68" s="99"/>
      <c r="DC68" s="99"/>
      <c r="DD68" s="99"/>
      <c r="DE68" s="99"/>
      <c r="DF68" s="99"/>
      <c r="DG68" s="99"/>
      <c r="DH68" s="99"/>
      <c r="DI68" s="99"/>
      <c r="DJ68" s="99"/>
      <c r="DK68" s="99"/>
      <c r="DL68" s="99"/>
      <c r="DM68" s="99"/>
      <c r="DN68" s="99"/>
      <c r="DO68" s="99"/>
      <c r="DP68" s="99"/>
      <c r="DQ68" s="99"/>
      <c r="DR68" s="99"/>
      <c r="DS68" s="99"/>
      <c r="DT68" s="99"/>
      <c r="DU68" s="99"/>
      <c r="DV68" s="99"/>
      <c r="DW68" s="99"/>
      <c r="DX68" s="99"/>
      <c r="DY68" s="99"/>
      <c r="DZ68" s="99"/>
      <c r="EA68" s="99"/>
      <c r="EB68" s="99"/>
      <c r="EC68" s="99"/>
      <c r="ED68" s="99"/>
      <c r="EE68" s="99"/>
      <c r="EF68" s="99"/>
      <c r="EG68" s="99"/>
      <c r="EH68" s="99"/>
      <c r="EI68" s="99"/>
      <c r="EJ68" s="99"/>
      <c r="EK68" s="99"/>
      <c r="EL68" s="99"/>
      <c r="EM68" s="99"/>
      <c r="EN68" s="99"/>
      <c r="EO68" s="99"/>
      <c r="EP68" s="99"/>
      <c r="EQ68" s="99"/>
      <c r="ER68" s="99"/>
      <c r="ES68" s="99"/>
      <c r="ET68" s="99"/>
      <c r="EU68" s="99"/>
      <c r="EV68" s="99"/>
      <c r="EW68" s="99"/>
      <c r="EX68" s="99"/>
      <c r="EY68" s="99"/>
      <c r="EZ68" s="99"/>
      <c r="FA68" s="99"/>
      <c r="FB68" s="99"/>
      <c r="FC68" s="99"/>
      <c r="FD68" s="99"/>
      <c r="FE68" s="99"/>
      <c r="FF68" s="99"/>
      <c r="FG68" s="99"/>
      <c r="FH68" s="99"/>
      <c r="FI68" s="99"/>
      <c r="FJ68" s="99"/>
      <c r="FK68" s="99"/>
      <c r="FL68" s="99"/>
      <c r="FM68" s="99"/>
      <c r="FN68" s="99"/>
      <c r="FO68" s="99"/>
      <c r="FP68" s="99"/>
      <c r="FQ68" s="99"/>
      <c r="FR68" s="99"/>
      <c r="FS68" s="99"/>
      <c r="FT68" s="99"/>
      <c r="FU68" s="99"/>
      <c r="FV68" s="99"/>
      <c r="FW68" s="99"/>
      <c r="FX68" s="99"/>
      <c r="FY68" s="99"/>
      <c r="FZ68" s="99"/>
      <c r="GA68" s="99"/>
      <c r="GB68" s="99"/>
      <c r="GC68" s="99"/>
      <c r="GD68" s="99"/>
      <c r="GE68" s="99"/>
      <c r="GF68" s="99"/>
      <c r="GG68" s="99"/>
      <c r="GH68" s="99"/>
      <c r="GI68" s="99"/>
      <c r="GJ68" s="99"/>
      <c r="GK68" s="99"/>
      <c r="GL68" s="99"/>
      <c r="GM68" s="99"/>
      <c r="GN68" s="99"/>
      <c r="GO68" s="99"/>
      <c r="GP68" s="99"/>
      <c r="GQ68" s="99"/>
      <c r="GR68" s="99"/>
      <c r="GS68" s="99"/>
      <c r="GT68" s="99"/>
      <c r="GU68" s="99"/>
      <c r="GV68" s="99"/>
      <c r="GW68" s="99"/>
      <c r="GX68" s="99"/>
      <c r="GY68" s="99"/>
      <c r="GZ68" s="99"/>
      <c r="HA68" s="99"/>
      <c r="HB68" s="99"/>
      <c r="HC68" s="99"/>
      <c r="HD68" s="99"/>
      <c r="HE68" s="99"/>
      <c r="HF68" s="99"/>
      <c r="HG68" s="99"/>
      <c r="HH68" s="99"/>
      <c r="HI68" s="99"/>
      <c r="HJ68" s="99"/>
      <c r="HK68" s="99"/>
      <c r="HL68" s="99"/>
      <c r="HM68" s="99"/>
      <c r="HN68" s="99"/>
      <c r="HO68" s="99"/>
      <c r="HP68" s="99"/>
      <c r="HQ68" s="99"/>
      <c r="HR68" s="99"/>
      <c r="HS68" s="99"/>
      <c r="HT68" s="99"/>
      <c r="HU68" s="99"/>
      <c r="HV68" s="99"/>
      <c r="HW68" s="99"/>
      <c r="HX68" s="99"/>
      <c r="HY68" s="99"/>
      <c r="HZ68" s="99"/>
      <c r="IA68" s="99"/>
      <c r="IB68" s="99"/>
      <c r="IC68" s="99"/>
      <c r="ID68" s="99"/>
      <c r="IE68" s="99"/>
      <c r="IF68" s="99"/>
      <c r="IG68" s="99"/>
      <c r="IH68" s="99"/>
      <c r="II68" s="99"/>
      <c r="IJ68" s="99"/>
    </row>
    <row r="69" spans="1:254">
      <c r="B69" s="207" t="s">
        <v>182</v>
      </c>
      <c r="C69" s="299" t="s">
        <v>307</v>
      </c>
      <c r="D69" s="137" t="s">
        <v>141</v>
      </c>
      <c r="E69" s="230">
        <v>0.01</v>
      </c>
      <c r="F69" s="137"/>
      <c r="G69" s="138" t="s">
        <v>264</v>
      </c>
      <c r="H69" s="230">
        <v>0.01</v>
      </c>
      <c r="I69" s="138" t="s">
        <v>264</v>
      </c>
      <c r="J69" s="230">
        <v>0.01</v>
      </c>
      <c r="K69" s="138"/>
      <c r="L69" s="230"/>
      <c r="M69" s="138"/>
      <c r="N69" s="230"/>
      <c r="O69" s="144">
        <f>(0.62*4+1.9*4)/1000</f>
        <v>1.008E-2</v>
      </c>
      <c r="P69" s="144"/>
      <c r="Q69" s="144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  <c r="BO69" s="99"/>
      <c r="BP69" s="99"/>
      <c r="BQ69" s="99"/>
      <c r="BR69" s="99"/>
      <c r="BS69" s="99"/>
      <c r="BT69" s="99"/>
      <c r="BU69" s="99"/>
      <c r="BV69" s="99"/>
      <c r="BW69" s="99"/>
      <c r="BX69" s="99"/>
      <c r="BY69" s="99"/>
      <c r="BZ69" s="99"/>
      <c r="CA69" s="99"/>
      <c r="CB69" s="99"/>
      <c r="CC69" s="99"/>
      <c r="CD69" s="99"/>
      <c r="CE69" s="99"/>
      <c r="CF69" s="99"/>
      <c r="CG69" s="99"/>
      <c r="CH69" s="99"/>
      <c r="CI69" s="99"/>
      <c r="CJ69" s="99"/>
      <c r="CK69" s="99"/>
      <c r="CL69" s="99"/>
      <c r="CM69" s="99"/>
      <c r="CN69" s="99"/>
      <c r="CO69" s="99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99"/>
      <c r="DA69" s="99"/>
      <c r="DB69" s="99"/>
      <c r="DC69" s="99"/>
      <c r="DD69" s="99"/>
      <c r="DE69" s="99"/>
      <c r="DF69" s="99"/>
      <c r="DG69" s="99"/>
      <c r="DH69" s="99"/>
      <c r="DI69" s="99"/>
      <c r="DJ69" s="99"/>
      <c r="DK69" s="99"/>
      <c r="DL69" s="99"/>
      <c r="DM69" s="99"/>
      <c r="DN69" s="99"/>
      <c r="DO69" s="99"/>
      <c r="DP69" s="99"/>
      <c r="DQ69" s="99"/>
      <c r="DR69" s="99"/>
      <c r="DS69" s="99"/>
      <c r="DT69" s="99"/>
      <c r="DU69" s="99"/>
      <c r="DV69" s="99"/>
      <c r="DW69" s="99"/>
      <c r="DX69" s="99"/>
      <c r="DY69" s="99"/>
      <c r="DZ69" s="99"/>
      <c r="EA69" s="99"/>
      <c r="EB69" s="99"/>
      <c r="EC69" s="99"/>
      <c r="ED69" s="99"/>
      <c r="EE69" s="99"/>
      <c r="EF69" s="99"/>
      <c r="EG69" s="99"/>
      <c r="EH69" s="99"/>
      <c r="EI69" s="99"/>
      <c r="EJ69" s="99"/>
      <c r="EK69" s="99"/>
      <c r="EL69" s="99"/>
      <c r="EM69" s="99"/>
      <c r="EN69" s="99"/>
      <c r="EO69" s="99"/>
      <c r="EP69" s="99"/>
      <c r="EQ69" s="99"/>
      <c r="ER69" s="99"/>
      <c r="ES69" s="99"/>
      <c r="ET69" s="99"/>
      <c r="EU69" s="99"/>
      <c r="EV69" s="99"/>
      <c r="EW69" s="99"/>
      <c r="EX69" s="99"/>
      <c r="EY69" s="99"/>
      <c r="EZ69" s="99"/>
      <c r="FA69" s="99"/>
      <c r="FB69" s="99"/>
      <c r="FC69" s="99"/>
      <c r="FD69" s="99"/>
      <c r="FE69" s="99"/>
      <c r="FF69" s="99"/>
      <c r="FG69" s="99"/>
      <c r="FH69" s="99"/>
      <c r="FI69" s="99"/>
      <c r="FJ69" s="99"/>
      <c r="FK69" s="99"/>
      <c r="FL69" s="99"/>
      <c r="FM69" s="99"/>
      <c r="FN69" s="99"/>
      <c r="FO69" s="99"/>
      <c r="FP69" s="99"/>
      <c r="FQ69" s="99"/>
      <c r="FR69" s="99"/>
      <c r="FS69" s="99"/>
      <c r="FT69" s="99"/>
      <c r="FU69" s="99"/>
      <c r="FV69" s="99"/>
      <c r="FW69" s="99"/>
      <c r="FX69" s="99"/>
      <c r="FY69" s="99"/>
      <c r="FZ69" s="99"/>
      <c r="GA69" s="99"/>
      <c r="GB69" s="99"/>
      <c r="GC69" s="99"/>
      <c r="GD69" s="99"/>
      <c r="GE69" s="99"/>
      <c r="GF69" s="99"/>
      <c r="GG69" s="99"/>
      <c r="GH69" s="99"/>
      <c r="GI69" s="99"/>
      <c r="GJ69" s="99"/>
      <c r="GK69" s="99"/>
      <c r="GL69" s="99"/>
      <c r="GM69" s="99"/>
      <c r="GN69" s="99"/>
      <c r="GO69" s="99"/>
      <c r="GP69" s="99"/>
      <c r="GQ69" s="99"/>
      <c r="GR69" s="99"/>
      <c r="GS69" s="99"/>
      <c r="GT69" s="99"/>
      <c r="GU69" s="99"/>
      <c r="GV69" s="99"/>
      <c r="GW69" s="99"/>
      <c r="GX69" s="99"/>
      <c r="GY69" s="99"/>
      <c r="GZ69" s="99"/>
      <c r="HA69" s="99"/>
      <c r="HB69" s="99"/>
      <c r="HC69" s="99"/>
      <c r="HD69" s="99"/>
      <c r="HE69" s="99"/>
      <c r="HF69" s="99"/>
      <c r="HG69" s="99"/>
      <c r="HH69" s="99"/>
      <c r="HI69" s="99"/>
      <c r="HJ69" s="99"/>
      <c r="HK69" s="99"/>
      <c r="HL69" s="99"/>
      <c r="HM69" s="99"/>
      <c r="HN69" s="99"/>
      <c r="HO69" s="99"/>
      <c r="HP69" s="99"/>
      <c r="HQ69" s="99"/>
      <c r="HR69" s="99"/>
      <c r="HS69" s="99"/>
      <c r="HT69" s="99"/>
      <c r="HU69" s="99"/>
      <c r="HV69" s="99"/>
      <c r="HW69" s="99"/>
      <c r="HX69" s="99"/>
      <c r="HY69" s="99"/>
      <c r="HZ69" s="99"/>
      <c r="IA69" s="99"/>
      <c r="IB69" s="99"/>
      <c r="IC69" s="99"/>
      <c r="ID69" s="99"/>
      <c r="IE69" s="99"/>
      <c r="IF69" s="99"/>
      <c r="IG69" s="99"/>
      <c r="IH69" s="99"/>
      <c r="II69" s="99"/>
      <c r="IJ69" s="99"/>
      <c r="IT69" s="112"/>
    </row>
    <row r="70" spans="1:254" ht="93.2" customHeight="1" thickBot="1">
      <c r="A70" s="463" t="s">
        <v>510</v>
      </c>
      <c r="B70" s="467"/>
      <c r="C70" s="480"/>
      <c r="D70" s="469"/>
      <c r="E70" s="473"/>
      <c r="F70" s="469"/>
      <c r="G70" s="473"/>
      <c r="H70" s="473"/>
      <c r="I70" s="473"/>
      <c r="J70" s="473"/>
      <c r="K70" s="473"/>
      <c r="L70" s="473"/>
      <c r="M70" s="473"/>
      <c r="N70" s="475"/>
      <c r="O70" s="144"/>
      <c r="P70" s="144"/>
      <c r="Q70" s="144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BZ70" s="99"/>
      <c r="CA70" s="99"/>
      <c r="CB70" s="99"/>
      <c r="CC70" s="99"/>
      <c r="CD70" s="99"/>
      <c r="CE70" s="99"/>
      <c r="CF70" s="99"/>
      <c r="CG70" s="99"/>
      <c r="CH70" s="99"/>
      <c r="CI70" s="99"/>
      <c r="CJ70" s="99"/>
      <c r="CK70" s="99"/>
      <c r="CL70" s="99"/>
      <c r="CM70" s="99"/>
      <c r="CN70" s="99"/>
      <c r="CO70" s="99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99"/>
      <c r="DA70" s="99"/>
      <c r="DB70" s="99"/>
      <c r="DC70" s="99"/>
      <c r="DD70" s="99"/>
      <c r="DE70" s="99"/>
      <c r="DF70" s="99"/>
      <c r="DG70" s="99"/>
      <c r="DH70" s="99"/>
      <c r="DI70" s="99"/>
      <c r="DJ70" s="99"/>
      <c r="DK70" s="99"/>
      <c r="DL70" s="99"/>
      <c r="DM70" s="99"/>
      <c r="DN70" s="99"/>
      <c r="DO70" s="99"/>
      <c r="DP70" s="99"/>
      <c r="DQ70" s="99"/>
      <c r="DR70" s="99"/>
      <c r="DS70" s="99"/>
      <c r="DT70" s="99"/>
      <c r="DU70" s="99"/>
      <c r="DV70" s="99"/>
      <c r="DW70" s="99"/>
      <c r="DX70" s="99"/>
      <c r="DY70" s="99"/>
      <c r="DZ70" s="99"/>
      <c r="EA70" s="99"/>
      <c r="EB70" s="99"/>
      <c r="EC70" s="99"/>
      <c r="ED70" s="99"/>
      <c r="EE70" s="99"/>
      <c r="EF70" s="99"/>
      <c r="EG70" s="99"/>
      <c r="EH70" s="99"/>
      <c r="EI70" s="99"/>
      <c r="EJ70" s="99"/>
      <c r="EK70" s="99"/>
      <c r="EL70" s="99"/>
      <c r="EM70" s="99"/>
      <c r="EN70" s="99"/>
      <c r="EO70" s="99"/>
      <c r="EP70" s="99"/>
      <c r="EQ70" s="99"/>
      <c r="ER70" s="99"/>
      <c r="ES70" s="99"/>
      <c r="ET70" s="99"/>
      <c r="EU70" s="99"/>
      <c r="EV70" s="99"/>
      <c r="EW70" s="99"/>
      <c r="EX70" s="99"/>
      <c r="EY70" s="99"/>
      <c r="EZ70" s="99"/>
      <c r="FA70" s="99"/>
      <c r="FB70" s="99"/>
      <c r="FC70" s="99"/>
      <c r="FD70" s="99"/>
      <c r="FE70" s="99"/>
      <c r="FF70" s="99"/>
      <c r="FG70" s="99"/>
      <c r="FH70" s="99"/>
      <c r="FI70" s="99"/>
      <c r="FJ70" s="99"/>
      <c r="FK70" s="99"/>
      <c r="FL70" s="99"/>
      <c r="FM70" s="99"/>
      <c r="FN70" s="99"/>
      <c r="FO70" s="99"/>
      <c r="FP70" s="99"/>
      <c r="FQ70" s="99"/>
      <c r="FR70" s="99"/>
      <c r="FS70" s="99"/>
      <c r="FT70" s="99"/>
      <c r="FU70" s="99"/>
      <c r="FV70" s="99"/>
      <c r="FW70" s="99"/>
      <c r="FX70" s="99"/>
      <c r="FY70" s="99"/>
      <c r="FZ70" s="99"/>
      <c r="GA70" s="99"/>
      <c r="GB70" s="99"/>
      <c r="GC70" s="99"/>
      <c r="GD70" s="99"/>
      <c r="GE70" s="99"/>
      <c r="GF70" s="99"/>
      <c r="GG70" s="99"/>
      <c r="GH70" s="99"/>
      <c r="GI70" s="99"/>
      <c r="GJ70" s="99"/>
      <c r="GK70" s="99"/>
      <c r="GL70" s="99"/>
      <c r="GM70" s="99"/>
      <c r="GN70" s="99"/>
      <c r="GO70" s="99"/>
      <c r="GP70" s="99"/>
      <c r="GQ70" s="99"/>
      <c r="GR70" s="99"/>
      <c r="GS70" s="99"/>
      <c r="GT70" s="99"/>
      <c r="GU70" s="99"/>
      <c r="GV70" s="99"/>
      <c r="GW70" s="99"/>
      <c r="GX70" s="99"/>
      <c r="GY70" s="99"/>
      <c r="GZ70" s="99"/>
      <c r="HA70" s="99"/>
      <c r="HB70" s="99"/>
      <c r="HC70" s="99"/>
      <c r="HD70" s="99"/>
      <c r="HE70" s="99"/>
      <c r="HF70" s="99"/>
      <c r="HG70" s="99"/>
      <c r="HH70" s="99"/>
      <c r="HI70" s="99"/>
      <c r="HJ70" s="99"/>
      <c r="HK70" s="99"/>
      <c r="HL70" s="99"/>
      <c r="HM70" s="99"/>
      <c r="HN70" s="99"/>
      <c r="HO70" s="99"/>
      <c r="HP70" s="99"/>
      <c r="HQ70" s="99"/>
      <c r="HR70" s="99"/>
      <c r="HS70" s="99"/>
      <c r="HT70" s="99"/>
      <c r="HU70" s="99"/>
      <c r="HV70" s="99"/>
      <c r="HW70" s="99"/>
      <c r="HX70" s="99"/>
      <c r="HY70" s="99"/>
      <c r="HZ70" s="99"/>
      <c r="IA70" s="99"/>
      <c r="IB70" s="99"/>
      <c r="IC70" s="99"/>
      <c r="ID70" s="99"/>
      <c r="IE70" s="99"/>
      <c r="IF70" s="99"/>
      <c r="IG70" s="99"/>
      <c r="IH70" s="99"/>
      <c r="II70" s="99"/>
      <c r="IJ70" s="99"/>
      <c r="IT70" s="112"/>
    </row>
    <row r="71" spans="1:254" ht="30" customHeight="1" thickBot="1">
      <c r="A71" s="463" t="s">
        <v>510</v>
      </c>
      <c r="B71" s="479"/>
      <c r="C71" s="481"/>
      <c r="D71" s="476"/>
      <c r="E71" s="477"/>
      <c r="F71" s="476"/>
      <c r="G71" s="477"/>
      <c r="H71" s="477"/>
      <c r="I71" s="477"/>
      <c r="J71" s="477"/>
      <c r="K71" s="477"/>
      <c r="L71" s="477"/>
      <c r="M71" s="477"/>
      <c r="N71" s="477"/>
      <c r="O71" s="144"/>
      <c r="P71" s="144"/>
      <c r="Q71" s="144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  <c r="BO71" s="99"/>
      <c r="BP71" s="99"/>
      <c r="BQ71" s="99"/>
      <c r="BR71" s="99"/>
      <c r="BS71" s="99"/>
      <c r="BT71" s="99"/>
      <c r="BU71" s="99"/>
      <c r="BV71" s="99"/>
      <c r="BW71" s="99"/>
      <c r="BX71" s="99"/>
      <c r="BY71" s="99"/>
      <c r="BZ71" s="99"/>
      <c r="CA71" s="99"/>
      <c r="CB71" s="99"/>
      <c r="CC71" s="99"/>
      <c r="CD71" s="99"/>
      <c r="CE71" s="99"/>
      <c r="CF71" s="99"/>
      <c r="CG71" s="99"/>
      <c r="CH71" s="99"/>
      <c r="CI71" s="99"/>
      <c r="CJ71" s="99"/>
      <c r="CK71" s="99"/>
      <c r="CL71" s="99"/>
      <c r="CM71" s="99"/>
      <c r="CN71" s="99"/>
      <c r="CO71" s="99"/>
      <c r="CP71" s="99"/>
      <c r="CQ71" s="99"/>
      <c r="CR71" s="99"/>
      <c r="CS71" s="99"/>
      <c r="CT71" s="99"/>
      <c r="CU71" s="99"/>
      <c r="CV71" s="99"/>
      <c r="CW71" s="99"/>
      <c r="CX71" s="99"/>
      <c r="CY71" s="99"/>
      <c r="CZ71" s="99"/>
      <c r="DA71" s="99"/>
      <c r="DB71" s="99"/>
      <c r="DC71" s="99"/>
      <c r="DD71" s="99"/>
      <c r="DE71" s="99"/>
      <c r="DF71" s="99"/>
      <c r="DG71" s="99"/>
      <c r="DH71" s="99"/>
      <c r="DI71" s="99"/>
      <c r="DJ71" s="99"/>
      <c r="DK71" s="99"/>
      <c r="DL71" s="99"/>
      <c r="DM71" s="99"/>
      <c r="DN71" s="99"/>
      <c r="DO71" s="99"/>
      <c r="DP71" s="99"/>
      <c r="DQ71" s="99"/>
      <c r="DR71" s="99"/>
      <c r="DS71" s="99"/>
      <c r="DT71" s="99"/>
      <c r="DU71" s="99"/>
      <c r="DV71" s="99"/>
      <c r="DW71" s="99"/>
      <c r="DX71" s="99"/>
      <c r="DY71" s="99"/>
      <c r="DZ71" s="99"/>
      <c r="EA71" s="99"/>
      <c r="EB71" s="99"/>
      <c r="EC71" s="99"/>
      <c r="ED71" s="99"/>
      <c r="EE71" s="99"/>
      <c r="EF71" s="99"/>
      <c r="EG71" s="99"/>
      <c r="EH71" s="99"/>
      <c r="EI71" s="99"/>
      <c r="EJ71" s="99"/>
      <c r="EK71" s="99"/>
      <c r="EL71" s="99"/>
      <c r="EM71" s="99"/>
      <c r="EN71" s="99"/>
      <c r="EO71" s="99"/>
      <c r="EP71" s="99"/>
      <c r="EQ71" s="99"/>
      <c r="ER71" s="99"/>
      <c r="ES71" s="99"/>
      <c r="ET71" s="99"/>
      <c r="EU71" s="99"/>
      <c r="EV71" s="99"/>
      <c r="EW71" s="99"/>
      <c r="EX71" s="99"/>
      <c r="EY71" s="99"/>
      <c r="EZ71" s="99"/>
      <c r="FA71" s="99"/>
      <c r="FB71" s="99"/>
      <c r="FC71" s="99"/>
      <c r="FD71" s="99"/>
      <c r="FE71" s="99"/>
      <c r="FF71" s="99"/>
      <c r="FG71" s="99"/>
      <c r="FH71" s="99"/>
      <c r="FI71" s="99"/>
      <c r="FJ71" s="99"/>
      <c r="FK71" s="99"/>
      <c r="FL71" s="99"/>
      <c r="FM71" s="99"/>
      <c r="FN71" s="99"/>
      <c r="FO71" s="99"/>
      <c r="FP71" s="99"/>
      <c r="FQ71" s="99"/>
      <c r="FR71" s="99"/>
      <c r="FS71" s="99"/>
      <c r="FT71" s="99"/>
      <c r="FU71" s="99"/>
      <c r="FV71" s="99"/>
      <c r="FW71" s="99"/>
      <c r="FX71" s="99"/>
      <c r="FY71" s="99"/>
      <c r="FZ71" s="99"/>
      <c r="GA71" s="99"/>
      <c r="GB71" s="99"/>
      <c r="GC71" s="99"/>
      <c r="GD71" s="99"/>
      <c r="GE71" s="99"/>
      <c r="GF71" s="99"/>
      <c r="GG71" s="99"/>
      <c r="GH71" s="99"/>
      <c r="GI71" s="99"/>
      <c r="GJ71" s="99"/>
      <c r="GK71" s="99"/>
      <c r="GL71" s="99"/>
      <c r="GM71" s="99"/>
      <c r="GN71" s="99"/>
      <c r="GO71" s="99"/>
      <c r="GP71" s="99"/>
      <c r="GQ71" s="99"/>
      <c r="GR71" s="99"/>
      <c r="GS71" s="99"/>
      <c r="GT71" s="99"/>
      <c r="GU71" s="99"/>
      <c r="GV71" s="99"/>
      <c r="GW71" s="99"/>
      <c r="GX71" s="99"/>
      <c r="GY71" s="99"/>
      <c r="GZ71" s="99"/>
      <c r="HA71" s="99"/>
      <c r="HB71" s="99"/>
      <c r="HC71" s="99"/>
      <c r="HD71" s="99"/>
      <c r="HE71" s="99"/>
      <c r="HF71" s="99"/>
      <c r="HG71" s="99"/>
      <c r="HH71" s="99"/>
      <c r="HI71" s="99"/>
      <c r="HJ71" s="99"/>
      <c r="HK71" s="99"/>
      <c r="HL71" s="99"/>
      <c r="HM71" s="99"/>
      <c r="HN71" s="99"/>
      <c r="HO71" s="99"/>
      <c r="HP71" s="99"/>
      <c r="HQ71" s="99"/>
      <c r="HR71" s="99"/>
      <c r="HS71" s="99"/>
      <c r="HT71" s="99"/>
      <c r="HU71" s="99"/>
      <c r="HV71" s="99"/>
      <c r="HW71" s="99"/>
      <c r="HX71" s="99"/>
      <c r="HY71" s="99"/>
      <c r="HZ71" s="99"/>
      <c r="IA71" s="99"/>
      <c r="IB71" s="99"/>
      <c r="IC71" s="99"/>
      <c r="ID71" s="99"/>
      <c r="IE71" s="99"/>
      <c r="IF71" s="99"/>
      <c r="IG71" s="99"/>
      <c r="IH71" s="99"/>
      <c r="II71" s="99"/>
      <c r="IJ71" s="99"/>
      <c r="IT71" s="112"/>
    </row>
    <row r="72" spans="1:254" ht="36" customHeight="1" thickBot="1">
      <c r="A72" s="463" t="s">
        <v>510</v>
      </c>
      <c r="B72" s="642" t="s">
        <v>35</v>
      </c>
      <c r="C72" s="642" t="s">
        <v>36</v>
      </c>
      <c r="D72" s="642" t="s">
        <v>37</v>
      </c>
      <c r="E72" s="642" t="s">
        <v>92</v>
      </c>
      <c r="F72" s="642" t="s">
        <v>18</v>
      </c>
      <c r="G72" s="645" t="s">
        <v>100</v>
      </c>
      <c r="H72" s="646"/>
      <c r="I72" s="646"/>
      <c r="J72" s="646"/>
      <c r="K72" s="646"/>
      <c r="L72" s="646"/>
      <c r="M72" s="646"/>
      <c r="N72" s="647"/>
      <c r="O72" s="134"/>
      <c r="P72" s="134"/>
      <c r="Q72" s="134"/>
      <c r="R72" s="134"/>
    </row>
    <row r="73" spans="1:254" ht="15.75" customHeight="1" thickBot="1">
      <c r="A73" s="463" t="s">
        <v>510</v>
      </c>
      <c r="B73" s="643"/>
      <c r="C73" s="643"/>
      <c r="D73" s="643"/>
      <c r="E73" s="643"/>
      <c r="F73" s="643"/>
      <c r="G73" s="645" t="s">
        <v>553</v>
      </c>
      <c r="H73" s="648"/>
      <c r="I73" s="645" t="s">
        <v>575</v>
      </c>
      <c r="J73" s="648"/>
      <c r="K73" s="645" t="s">
        <v>554</v>
      </c>
      <c r="L73" s="648"/>
      <c r="M73" s="645" t="s">
        <v>554</v>
      </c>
      <c r="N73" s="648"/>
      <c r="O73" s="134"/>
      <c r="P73" s="134"/>
      <c r="Q73" s="134"/>
      <c r="R73" s="134"/>
    </row>
    <row r="74" spans="1:254" ht="16.5" thickBot="1">
      <c r="A74" s="463" t="s">
        <v>510</v>
      </c>
      <c r="B74" s="644"/>
      <c r="C74" s="644"/>
      <c r="D74" s="644"/>
      <c r="E74" s="644"/>
      <c r="F74" s="644"/>
      <c r="G74" s="118" t="s">
        <v>38</v>
      </c>
      <c r="H74" s="118" t="s">
        <v>39</v>
      </c>
      <c r="I74" s="118" t="s">
        <v>38</v>
      </c>
      <c r="J74" s="118" t="s">
        <v>39</v>
      </c>
      <c r="K74" s="118" t="s">
        <v>38</v>
      </c>
      <c r="L74" s="118" t="s">
        <v>39</v>
      </c>
      <c r="M74" s="118" t="s">
        <v>38</v>
      </c>
      <c r="N74" s="118" t="s">
        <v>39</v>
      </c>
      <c r="O74" s="134"/>
      <c r="P74" s="134"/>
      <c r="Q74" s="134"/>
      <c r="R74" s="134"/>
    </row>
    <row r="75" spans="1:254">
      <c r="A75" s="463" t="s">
        <v>510</v>
      </c>
      <c r="B75" s="119" t="s">
        <v>115</v>
      </c>
      <c r="C75" s="120" t="s">
        <v>116</v>
      </c>
      <c r="D75" s="120" t="s">
        <v>117</v>
      </c>
      <c r="E75" s="120" t="s">
        <v>118</v>
      </c>
      <c r="F75" s="119" t="s">
        <v>119</v>
      </c>
      <c r="G75" s="121" t="s">
        <v>120</v>
      </c>
      <c r="H75" s="121" t="s">
        <v>121</v>
      </c>
      <c r="I75" s="122">
        <v>8</v>
      </c>
      <c r="J75" s="123">
        <v>9</v>
      </c>
      <c r="K75" s="124">
        <v>10</v>
      </c>
      <c r="L75" s="123">
        <v>11</v>
      </c>
      <c r="M75" s="124">
        <v>12</v>
      </c>
      <c r="N75" s="123">
        <v>13</v>
      </c>
      <c r="O75" s="125"/>
      <c r="P75" s="125"/>
      <c r="Q75" s="125"/>
      <c r="R75" s="125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</row>
    <row r="76" spans="1:254">
      <c r="A76" s="164"/>
      <c r="B76" s="185" t="s">
        <v>183</v>
      </c>
      <c r="C76" s="619" t="s">
        <v>243</v>
      </c>
      <c r="D76" s="155" t="s">
        <v>141</v>
      </c>
      <c r="E76" s="185" t="s">
        <v>245</v>
      </c>
      <c r="F76" s="341"/>
      <c r="G76" s="186" t="s">
        <v>264</v>
      </c>
      <c r="H76" s="185" t="s">
        <v>245</v>
      </c>
      <c r="I76" s="186" t="s">
        <v>264</v>
      </c>
      <c r="J76" s="185" t="s">
        <v>245</v>
      </c>
      <c r="K76" s="186"/>
      <c r="L76" s="185"/>
      <c r="M76" s="186"/>
      <c r="N76" s="185"/>
      <c r="O76" s="166">
        <f>7.34*2/1000</f>
        <v>1.468E-2</v>
      </c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T76" s="112"/>
    </row>
    <row r="77" spans="1:254" ht="32.25" thickBot="1">
      <c r="B77" s="246"/>
      <c r="C77" s="602" t="s">
        <v>247</v>
      </c>
      <c r="D77" s="377"/>
      <c r="E77" s="603"/>
      <c r="F77" s="604"/>
      <c r="G77" s="603"/>
      <c r="H77" s="603"/>
      <c r="I77" s="603"/>
      <c r="J77" s="603"/>
      <c r="K77" s="603"/>
      <c r="L77" s="603"/>
      <c r="M77" s="603"/>
      <c r="N77" s="603"/>
      <c r="O77" s="128"/>
      <c r="P77" s="128"/>
      <c r="Q77" s="125"/>
      <c r="R77" s="125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  <c r="BO77" s="99"/>
      <c r="BP77" s="99"/>
      <c r="BQ77" s="99"/>
      <c r="BR77" s="99"/>
      <c r="BS77" s="99"/>
      <c r="BT77" s="99"/>
      <c r="BU77" s="99"/>
      <c r="BV77" s="99"/>
      <c r="BW77" s="99"/>
      <c r="BX77" s="99"/>
      <c r="BY77" s="99"/>
      <c r="BZ77" s="99"/>
      <c r="CA77" s="99"/>
      <c r="CB77" s="99"/>
      <c r="CC77" s="99"/>
      <c r="CD77" s="99"/>
      <c r="CE77" s="99"/>
      <c r="CF77" s="99"/>
      <c r="CG77" s="99"/>
      <c r="CH77" s="99"/>
      <c r="CI77" s="99"/>
      <c r="CJ77" s="99"/>
      <c r="CK77" s="99"/>
      <c r="CL77" s="99"/>
      <c r="CM77" s="99"/>
      <c r="CN77" s="99"/>
      <c r="CO77" s="99"/>
      <c r="CP77" s="99"/>
      <c r="CQ77" s="99"/>
      <c r="CR77" s="99"/>
      <c r="CS77" s="99"/>
      <c r="CT77" s="99"/>
      <c r="CU77" s="99"/>
      <c r="CV77" s="99"/>
      <c r="CW77" s="99"/>
      <c r="CX77" s="99"/>
      <c r="CY77" s="99"/>
      <c r="CZ77" s="99"/>
      <c r="DA77" s="99"/>
      <c r="DB77" s="99"/>
      <c r="DC77" s="99"/>
      <c r="DD77" s="99"/>
      <c r="DE77" s="99"/>
      <c r="DF77" s="99"/>
      <c r="DG77" s="99"/>
      <c r="DH77" s="99"/>
      <c r="DI77" s="99"/>
      <c r="DJ77" s="99"/>
      <c r="DK77" s="99"/>
      <c r="DL77" s="99"/>
      <c r="DM77" s="99"/>
      <c r="DN77" s="99"/>
      <c r="DO77" s="99"/>
      <c r="DP77" s="99"/>
      <c r="DQ77" s="99"/>
      <c r="DR77" s="99"/>
      <c r="DS77" s="99"/>
      <c r="DT77" s="99"/>
      <c r="DU77" s="99"/>
      <c r="DV77" s="99"/>
      <c r="DW77" s="99"/>
      <c r="DX77" s="99"/>
      <c r="DY77" s="99"/>
      <c r="DZ77" s="99"/>
      <c r="EA77" s="99"/>
      <c r="EB77" s="99"/>
      <c r="EC77" s="99"/>
      <c r="ED77" s="99"/>
      <c r="EE77" s="99"/>
      <c r="EF77" s="99"/>
      <c r="EG77" s="99"/>
      <c r="EH77" s="99"/>
      <c r="EI77" s="99"/>
      <c r="EJ77" s="99"/>
      <c r="EK77" s="99"/>
      <c r="EL77" s="99"/>
      <c r="EM77" s="99"/>
      <c r="EN77" s="99"/>
      <c r="EO77" s="99"/>
      <c r="EP77" s="99"/>
      <c r="EQ77" s="99"/>
      <c r="ER77" s="99"/>
      <c r="ES77" s="99"/>
      <c r="ET77" s="99"/>
      <c r="EU77" s="99"/>
      <c r="EV77" s="99"/>
      <c r="EW77" s="99"/>
      <c r="EX77" s="99"/>
      <c r="EY77" s="99"/>
      <c r="EZ77" s="99"/>
      <c r="FA77" s="99"/>
      <c r="FB77" s="99"/>
      <c r="FC77" s="99"/>
      <c r="FD77" s="99"/>
      <c r="FE77" s="99"/>
      <c r="FF77" s="99"/>
      <c r="FG77" s="99"/>
      <c r="FH77" s="99"/>
      <c r="FI77" s="99"/>
      <c r="FJ77" s="99"/>
      <c r="FK77" s="99"/>
      <c r="FL77" s="99"/>
      <c r="FM77" s="99"/>
      <c r="FN77" s="99"/>
      <c r="FO77" s="99"/>
      <c r="FP77" s="99"/>
      <c r="FQ77" s="99"/>
      <c r="FR77" s="99"/>
      <c r="FS77" s="99"/>
      <c r="FT77" s="99"/>
      <c r="FU77" s="99"/>
      <c r="FV77" s="99"/>
      <c r="FW77" s="99"/>
      <c r="FX77" s="99"/>
      <c r="FY77" s="99"/>
      <c r="FZ77" s="99"/>
      <c r="GA77" s="99"/>
      <c r="GB77" s="99"/>
      <c r="GC77" s="99"/>
      <c r="GD77" s="99"/>
      <c r="GE77" s="99"/>
      <c r="GF77" s="99"/>
      <c r="GG77" s="99"/>
      <c r="GH77" s="99"/>
      <c r="GI77" s="99"/>
      <c r="GJ77" s="99"/>
      <c r="GK77" s="99"/>
      <c r="GL77" s="99"/>
      <c r="GM77" s="99"/>
      <c r="GN77" s="99"/>
      <c r="GO77" s="99"/>
      <c r="GP77" s="99"/>
      <c r="GQ77" s="99"/>
      <c r="GR77" s="99"/>
      <c r="GS77" s="99"/>
      <c r="GT77" s="99"/>
      <c r="GU77" s="99"/>
      <c r="GV77" s="99"/>
      <c r="GW77" s="99"/>
      <c r="GX77" s="99"/>
      <c r="GY77" s="99"/>
      <c r="GZ77" s="99"/>
      <c r="HA77" s="99"/>
      <c r="HB77" s="99"/>
      <c r="HC77" s="99"/>
      <c r="HD77" s="99"/>
      <c r="HE77" s="99"/>
      <c r="HF77" s="99"/>
      <c r="HG77" s="99"/>
      <c r="HH77" s="99"/>
      <c r="HI77" s="99"/>
      <c r="HJ77" s="99"/>
      <c r="HK77" s="99"/>
      <c r="HL77" s="99"/>
      <c r="HM77" s="99"/>
      <c r="HN77" s="99"/>
      <c r="HO77" s="99"/>
      <c r="HP77" s="99"/>
      <c r="HQ77" s="99"/>
      <c r="HR77" s="99"/>
      <c r="HS77" s="99"/>
      <c r="HT77" s="99"/>
      <c r="HU77" s="99"/>
      <c r="HV77" s="99"/>
      <c r="HW77" s="99"/>
      <c r="HX77" s="99"/>
      <c r="HY77" s="99"/>
      <c r="HZ77" s="99"/>
      <c r="IA77" s="99"/>
      <c r="IB77" s="99"/>
      <c r="IC77" s="99"/>
      <c r="ID77" s="99"/>
      <c r="IE77" s="99"/>
      <c r="IF77" s="99"/>
      <c r="IG77" s="99"/>
      <c r="IH77" s="99"/>
      <c r="II77" s="99"/>
      <c r="IJ77" s="99"/>
      <c r="IT77" s="112"/>
    </row>
    <row r="78" spans="1:254" ht="18.75">
      <c r="B78" s="203" t="s">
        <v>148</v>
      </c>
      <c r="C78" s="319" t="s">
        <v>234</v>
      </c>
      <c r="D78" s="577" t="s">
        <v>560</v>
      </c>
      <c r="E78" s="176">
        <v>0.44</v>
      </c>
      <c r="F78" s="175"/>
      <c r="G78" s="320" t="s">
        <v>264</v>
      </c>
      <c r="H78" s="176">
        <v>0.44</v>
      </c>
      <c r="I78" s="320" t="s">
        <v>264</v>
      </c>
      <c r="J78" s="176">
        <v>0.44</v>
      </c>
      <c r="K78" s="320"/>
      <c r="L78" s="176"/>
      <c r="M78" s="320"/>
      <c r="N78" s="176"/>
      <c r="O78" s="144">
        <f>0.1*1.7*1.7</f>
        <v>0.28900000000000003</v>
      </c>
      <c r="P78" s="144"/>
      <c r="Q78" s="144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9"/>
      <c r="CG78" s="99"/>
      <c r="CH78" s="99"/>
      <c r="CI78" s="99"/>
      <c r="CJ78" s="99"/>
      <c r="CK78" s="99"/>
      <c r="CL78" s="99"/>
      <c r="CM78" s="99"/>
      <c r="CN78" s="99"/>
      <c r="CO78" s="99"/>
      <c r="CP78" s="99"/>
      <c r="CQ78" s="99"/>
      <c r="CR78" s="99"/>
      <c r="CS78" s="99"/>
      <c r="CT78" s="99"/>
      <c r="CU78" s="99"/>
      <c r="CV78" s="99"/>
      <c r="CW78" s="99"/>
      <c r="CX78" s="99"/>
      <c r="CY78" s="99"/>
      <c r="CZ78" s="99"/>
      <c r="DA78" s="99"/>
      <c r="DB78" s="99"/>
      <c r="DC78" s="99"/>
      <c r="DD78" s="99"/>
      <c r="DE78" s="99"/>
      <c r="DF78" s="99"/>
      <c r="DG78" s="99"/>
      <c r="DH78" s="99"/>
      <c r="DI78" s="99"/>
      <c r="DJ78" s="99"/>
      <c r="DK78" s="99"/>
      <c r="DL78" s="99"/>
      <c r="DM78" s="99"/>
      <c r="DN78" s="99"/>
      <c r="DO78" s="99"/>
      <c r="DP78" s="99"/>
      <c r="DQ78" s="99"/>
      <c r="DR78" s="99"/>
      <c r="DS78" s="99"/>
      <c r="DT78" s="99"/>
      <c r="DU78" s="99"/>
      <c r="DV78" s="99"/>
      <c r="DW78" s="99"/>
      <c r="DX78" s="99"/>
      <c r="DY78" s="99"/>
      <c r="DZ78" s="99"/>
      <c r="EA78" s="99"/>
      <c r="EB78" s="99"/>
      <c r="EC78" s="99"/>
      <c r="ED78" s="99"/>
      <c r="EE78" s="99"/>
      <c r="EF78" s="99"/>
      <c r="EG78" s="99"/>
      <c r="EH78" s="99"/>
      <c r="EI78" s="99"/>
      <c r="EJ78" s="99"/>
      <c r="EK78" s="99"/>
      <c r="EL78" s="99"/>
      <c r="EM78" s="99"/>
      <c r="EN78" s="99"/>
      <c r="EO78" s="99"/>
      <c r="EP78" s="99"/>
      <c r="EQ78" s="99"/>
      <c r="ER78" s="99"/>
      <c r="ES78" s="99"/>
      <c r="ET78" s="99"/>
      <c r="EU78" s="99"/>
      <c r="EV78" s="99"/>
      <c r="EW78" s="99"/>
      <c r="EX78" s="99"/>
      <c r="EY78" s="99"/>
      <c r="EZ78" s="99"/>
      <c r="FA78" s="99"/>
      <c r="FB78" s="99"/>
      <c r="FC78" s="99"/>
      <c r="FD78" s="99"/>
      <c r="FE78" s="99"/>
      <c r="FF78" s="99"/>
      <c r="FG78" s="99"/>
      <c r="FH78" s="99"/>
      <c r="FI78" s="99"/>
      <c r="FJ78" s="99"/>
      <c r="FK78" s="99"/>
      <c r="FL78" s="99"/>
      <c r="FM78" s="99"/>
      <c r="FN78" s="99"/>
      <c r="FO78" s="99"/>
      <c r="FP78" s="99"/>
      <c r="FQ78" s="99"/>
      <c r="FR78" s="99"/>
      <c r="FS78" s="99"/>
      <c r="FT78" s="99"/>
      <c r="FU78" s="99"/>
      <c r="FV78" s="99"/>
      <c r="FW78" s="99"/>
      <c r="FX78" s="99"/>
      <c r="FY78" s="99"/>
      <c r="FZ78" s="99"/>
      <c r="GA78" s="99"/>
      <c r="GB78" s="99"/>
      <c r="GC78" s="99"/>
      <c r="GD78" s="99"/>
      <c r="GE78" s="99"/>
      <c r="GF78" s="99"/>
      <c r="GG78" s="99"/>
      <c r="GH78" s="99"/>
      <c r="GI78" s="99"/>
      <c r="GJ78" s="99"/>
      <c r="GK78" s="99"/>
      <c r="GL78" s="99"/>
      <c r="GM78" s="99"/>
      <c r="GN78" s="99"/>
      <c r="GO78" s="99"/>
      <c r="GP78" s="99"/>
      <c r="GQ78" s="99"/>
      <c r="GR78" s="99"/>
      <c r="GS78" s="99"/>
      <c r="GT78" s="99"/>
      <c r="GU78" s="99"/>
      <c r="GV78" s="99"/>
      <c r="GW78" s="99"/>
      <c r="GX78" s="99"/>
      <c r="GY78" s="99"/>
      <c r="GZ78" s="99"/>
      <c r="HA78" s="99"/>
      <c r="HB78" s="99"/>
      <c r="HC78" s="99"/>
      <c r="HD78" s="99"/>
      <c r="HE78" s="99"/>
      <c r="HF78" s="99"/>
      <c r="HG78" s="99"/>
      <c r="HH78" s="99"/>
      <c r="HI78" s="99"/>
      <c r="HJ78" s="99"/>
      <c r="HK78" s="99"/>
      <c r="HL78" s="99"/>
      <c r="HM78" s="99"/>
      <c r="HN78" s="99"/>
      <c r="HO78" s="99"/>
      <c r="HP78" s="99"/>
      <c r="HQ78" s="99"/>
      <c r="HR78" s="99"/>
      <c r="HS78" s="99"/>
      <c r="HT78" s="99"/>
      <c r="HU78" s="99"/>
      <c r="HV78" s="99"/>
      <c r="HW78" s="99"/>
      <c r="HX78" s="99"/>
      <c r="HY78" s="99"/>
      <c r="HZ78" s="99"/>
      <c r="IA78" s="99"/>
      <c r="IB78" s="99"/>
      <c r="IC78" s="99"/>
      <c r="ID78" s="99"/>
      <c r="IE78" s="99"/>
      <c r="IF78" s="99"/>
      <c r="IG78" s="99"/>
      <c r="IH78" s="99"/>
      <c r="II78" s="99"/>
      <c r="IJ78" s="99"/>
      <c r="IT78" s="112"/>
    </row>
    <row r="79" spans="1:254" ht="34.5">
      <c r="B79" s="185" t="s">
        <v>149</v>
      </c>
      <c r="C79" s="313" t="s">
        <v>311</v>
      </c>
      <c r="D79" s="578" t="s">
        <v>560</v>
      </c>
      <c r="E79" s="211">
        <v>4.59</v>
      </c>
      <c r="F79" s="161"/>
      <c r="G79" s="269" t="s">
        <v>264</v>
      </c>
      <c r="H79" s="211">
        <v>4.59</v>
      </c>
      <c r="I79" s="269" t="s">
        <v>264</v>
      </c>
      <c r="J79" s="211">
        <v>4.59</v>
      </c>
      <c r="K79" s="215"/>
      <c r="L79" s="259"/>
      <c r="M79" s="215"/>
      <c r="N79" s="259"/>
      <c r="O79" s="144">
        <f>1.5*1.5*0.6</f>
        <v>1.3499999999999999</v>
      </c>
      <c r="P79" s="144">
        <f>4.41</f>
        <v>4.41</v>
      </c>
      <c r="Q79" s="144">
        <f>P79-K79</f>
        <v>4.41</v>
      </c>
      <c r="R79" s="99">
        <v>4.59</v>
      </c>
      <c r="S79" s="144">
        <f>R79-H79</f>
        <v>0</v>
      </c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  <c r="BO79" s="99"/>
      <c r="BP79" s="99"/>
      <c r="BQ79" s="99"/>
      <c r="BR79" s="99"/>
      <c r="BS79" s="99"/>
      <c r="BT79" s="99"/>
      <c r="BU79" s="99"/>
      <c r="BV79" s="99"/>
      <c r="BW79" s="99"/>
      <c r="BX79" s="99"/>
      <c r="BY79" s="99"/>
      <c r="BZ79" s="99"/>
      <c r="CA79" s="99"/>
      <c r="CB79" s="99"/>
      <c r="CC79" s="99"/>
      <c r="CD79" s="99"/>
      <c r="CE79" s="99"/>
      <c r="CF79" s="99"/>
      <c r="CG79" s="99"/>
      <c r="CH79" s="99"/>
      <c r="CI79" s="99"/>
      <c r="CJ79" s="99"/>
      <c r="CK79" s="99"/>
      <c r="CL79" s="99"/>
      <c r="CM79" s="99"/>
      <c r="CN79" s="99"/>
      <c r="CO79" s="99"/>
      <c r="CP79" s="99"/>
      <c r="CQ79" s="99"/>
      <c r="CR79" s="99"/>
      <c r="CS79" s="99"/>
      <c r="CT79" s="99"/>
      <c r="CU79" s="99"/>
      <c r="CV79" s="99"/>
      <c r="CW79" s="99"/>
      <c r="CX79" s="99"/>
      <c r="CY79" s="99"/>
      <c r="CZ79" s="99"/>
      <c r="DA79" s="99"/>
      <c r="DB79" s="99"/>
      <c r="DC79" s="99"/>
      <c r="DD79" s="99"/>
      <c r="DE79" s="99"/>
      <c r="DF79" s="99"/>
      <c r="DG79" s="99"/>
      <c r="DH79" s="99"/>
      <c r="DI79" s="99"/>
      <c r="DJ79" s="99"/>
      <c r="DK79" s="99"/>
      <c r="DL79" s="99"/>
      <c r="DM79" s="99"/>
      <c r="DN79" s="99"/>
      <c r="DO79" s="99"/>
      <c r="DP79" s="99"/>
      <c r="DQ79" s="99"/>
      <c r="DR79" s="99"/>
      <c r="DS79" s="99"/>
      <c r="DT79" s="99"/>
      <c r="DU79" s="99"/>
      <c r="DV79" s="99"/>
      <c r="DW79" s="99"/>
      <c r="DX79" s="99"/>
      <c r="DY79" s="99"/>
      <c r="DZ79" s="99"/>
      <c r="EA79" s="99"/>
      <c r="EB79" s="99"/>
      <c r="EC79" s="99"/>
      <c r="ED79" s="99"/>
      <c r="EE79" s="99"/>
      <c r="EF79" s="99"/>
      <c r="EG79" s="99"/>
      <c r="EH79" s="99"/>
      <c r="EI79" s="99"/>
      <c r="EJ79" s="99"/>
      <c r="EK79" s="99"/>
      <c r="EL79" s="99"/>
      <c r="EM79" s="99"/>
      <c r="EN79" s="99"/>
      <c r="EO79" s="99"/>
      <c r="EP79" s="99"/>
      <c r="EQ79" s="99"/>
      <c r="ER79" s="99"/>
      <c r="ES79" s="99"/>
      <c r="ET79" s="99"/>
      <c r="EU79" s="99"/>
      <c r="EV79" s="99"/>
      <c r="EW79" s="99"/>
      <c r="EX79" s="99"/>
      <c r="EY79" s="99"/>
      <c r="EZ79" s="99"/>
      <c r="FA79" s="99"/>
      <c r="FB79" s="99"/>
      <c r="FC79" s="99"/>
      <c r="FD79" s="99"/>
      <c r="FE79" s="99"/>
      <c r="FF79" s="99"/>
      <c r="FG79" s="99"/>
      <c r="FH79" s="99"/>
      <c r="FI79" s="99"/>
      <c r="FJ79" s="99"/>
      <c r="FK79" s="99"/>
      <c r="FL79" s="99"/>
      <c r="FM79" s="99"/>
      <c r="FN79" s="99"/>
      <c r="FO79" s="99"/>
      <c r="FP79" s="99"/>
      <c r="FQ79" s="99"/>
      <c r="FR79" s="99"/>
      <c r="FS79" s="99"/>
      <c r="FT79" s="99"/>
      <c r="FU79" s="99"/>
      <c r="FV79" s="99"/>
      <c r="FW79" s="99"/>
      <c r="FX79" s="99"/>
      <c r="FY79" s="99"/>
      <c r="FZ79" s="99"/>
      <c r="GA79" s="99"/>
      <c r="GB79" s="99"/>
      <c r="GC79" s="99"/>
      <c r="GD79" s="99"/>
      <c r="GE79" s="99"/>
      <c r="GF79" s="99"/>
      <c r="GG79" s="99"/>
      <c r="GH79" s="99"/>
      <c r="GI79" s="99"/>
      <c r="GJ79" s="99"/>
      <c r="GK79" s="99"/>
      <c r="GL79" s="99"/>
      <c r="GM79" s="99"/>
      <c r="GN79" s="99"/>
      <c r="GO79" s="99"/>
      <c r="GP79" s="99"/>
      <c r="GQ79" s="99"/>
      <c r="GR79" s="99"/>
      <c r="GS79" s="99"/>
      <c r="GT79" s="99"/>
      <c r="GU79" s="99"/>
      <c r="GV79" s="99"/>
      <c r="GW79" s="99"/>
      <c r="GX79" s="99"/>
      <c r="GY79" s="99"/>
      <c r="GZ79" s="99"/>
      <c r="HA79" s="99"/>
      <c r="HB79" s="99"/>
      <c r="HC79" s="99"/>
      <c r="HD79" s="99"/>
      <c r="HE79" s="99"/>
      <c r="HF79" s="99"/>
      <c r="HG79" s="99"/>
      <c r="HH79" s="99"/>
      <c r="HI79" s="99"/>
      <c r="HJ79" s="99"/>
      <c r="HK79" s="99"/>
      <c r="HL79" s="99"/>
      <c r="HM79" s="99"/>
      <c r="HN79" s="99"/>
      <c r="HO79" s="99"/>
      <c r="HP79" s="99"/>
      <c r="HQ79" s="99"/>
      <c r="HR79" s="99"/>
      <c r="HS79" s="99"/>
      <c r="HT79" s="99"/>
      <c r="HU79" s="99"/>
      <c r="HV79" s="99"/>
      <c r="HW79" s="99"/>
      <c r="HX79" s="99"/>
      <c r="HY79" s="99"/>
      <c r="HZ79" s="99"/>
      <c r="IA79" s="99"/>
      <c r="IB79" s="99"/>
      <c r="IC79" s="99"/>
      <c r="ID79" s="99"/>
      <c r="IE79" s="99"/>
      <c r="IF79" s="99"/>
      <c r="IG79" s="99"/>
      <c r="IH79" s="99"/>
      <c r="II79" s="99"/>
      <c r="IJ79" s="99"/>
      <c r="IT79" s="112"/>
    </row>
    <row r="80" spans="1:254" ht="31.5">
      <c r="B80" s="207" t="s">
        <v>150</v>
      </c>
      <c r="C80" s="308" t="s">
        <v>316</v>
      </c>
      <c r="D80" s="579" t="s">
        <v>141</v>
      </c>
      <c r="E80" s="138">
        <v>0.214</v>
      </c>
      <c r="F80" s="158"/>
      <c r="G80" s="230" t="s">
        <v>264</v>
      </c>
      <c r="H80" s="138">
        <v>0.214</v>
      </c>
      <c r="I80" s="230" t="s">
        <v>264</v>
      </c>
      <c r="J80" s="138">
        <v>0.214</v>
      </c>
      <c r="K80" s="138"/>
      <c r="L80" s="230"/>
      <c r="M80" s="138"/>
      <c r="N80" s="230"/>
      <c r="O80" s="144">
        <f>213.64/1000</f>
        <v>0.21364</v>
      </c>
      <c r="P80" s="144"/>
      <c r="Q80" s="144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99"/>
      <c r="DE80" s="99"/>
      <c r="DF80" s="99"/>
      <c r="DG80" s="99"/>
      <c r="DH80" s="99"/>
      <c r="DI80" s="99"/>
      <c r="DJ80" s="99"/>
      <c r="DK80" s="99"/>
      <c r="DL80" s="99"/>
      <c r="DM80" s="99"/>
      <c r="DN80" s="99"/>
      <c r="DO80" s="99"/>
      <c r="DP80" s="99"/>
      <c r="DQ80" s="99"/>
      <c r="DR80" s="99"/>
      <c r="DS80" s="99"/>
      <c r="DT80" s="99"/>
      <c r="DU80" s="99"/>
      <c r="DV80" s="99"/>
      <c r="DW80" s="99"/>
      <c r="DX80" s="99"/>
      <c r="DY80" s="99"/>
      <c r="DZ80" s="99"/>
      <c r="EA80" s="99"/>
      <c r="EB80" s="99"/>
      <c r="EC80" s="99"/>
      <c r="ED80" s="99"/>
      <c r="EE80" s="99"/>
      <c r="EF80" s="99"/>
      <c r="EG80" s="99"/>
      <c r="EH80" s="99"/>
      <c r="EI80" s="99"/>
      <c r="EJ80" s="99"/>
      <c r="EK80" s="99"/>
      <c r="EL80" s="99"/>
      <c r="EM80" s="99"/>
      <c r="EN80" s="99"/>
      <c r="EO80" s="99"/>
      <c r="EP80" s="99"/>
      <c r="EQ80" s="99"/>
      <c r="ER80" s="99"/>
      <c r="ES80" s="99"/>
      <c r="ET80" s="99"/>
      <c r="EU80" s="99"/>
      <c r="EV80" s="99"/>
      <c r="EW80" s="99"/>
      <c r="EX80" s="99"/>
      <c r="EY80" s="99"/>
      <c r="EZ80" s="99"/>
      <c r="FA80" s="99"/>
      <c r="FB80" s="99"/>
      <c r="FC80" s="99"/>
      <c r="FD80" s="99"/>
      <c r="FE80" s="99"/>
      <c r="FF80" s="99"/>
      <c r="FG80" s="99"/>
      <c r="FH80" s="99"/>
      <c r="FI80" s="99"/>
      <c r="FJ80" s="99"/>
      <c r="FK80" s="99"/>
      <c r="FL80" s="99"/>
      <c r="FM80" s="99"/>
      <c r="FN80" s="99"/>
      <c r="FO80" s="99"/>
      <c r="FP80" s="99"/>
      <c r="FQ80" s="99"/>
      <c r="FR80" s="99"/>
      <c r="FS80" s="99"/>
      <c r="FT80" s="99"/>
      <c r="FU80" s="99"/>
      <c r="FV80" s="99"/>
      <c r="FW80" s="99"/>
      <c r="FX80" s="99"/>
      <c r="FY80" s="99"/>
      <c r="FZ80" s="99"/>
      <c r="GA80" s="99"/>
      <c r="GB80" s="99"/>
      <c r="GC80" s="99"/>
      <c r="GD80" s="99"/>
      <c r="GE80" s="99"/>
      <c r="GF80" s="99"/>
      <c r="GG80" s="99"/>
      <c r="GH80" s="99"/>
      <c r="GI80" s="99"/>
      <c r="GJ80" s="99"/>
      <c r="GK80" s="99"/>
      <c r="GL80" s="99"/>
      <c r="GM80" s="99"/>
      <c r="GN80" s="99"/>
      <c r="GO80" s="99"/>
      <c r="GP80" s="99"/>
      <c r="GQ80" s="99"/>
      <c r="GR80" s="99"/>
      <c r="GS80" s="99"/>
      <c r="GT80" s="99"/>
      <c r="GU80" s="99"/>
      <c r="GV80" s="99"/>
      <c r="GW80" s="99"/>
      <c r="GX80" s="99"/>
      <c r="GY80" s="99"/>
      <c r="GZ80" s="99"/>
      <c r="HA80" s="99"/>
      <c r="HB80" s="99"/>
      <c r="HC80" s="99"/>
      <c r="HD80" s="99"/>
      <c r="HE80" s="99"/>
      <c r="HF80" s="99"/>
      <c r="HG80" s="99"/>
      <c r="HH80" s="99"/>
      <c r="HI80" s="99"/>
      <c r="HJ80" s="99"/>
      <c r="HK80" s="99"/>
      <c r="HL80" s="99"/>
      <c r="HM80" s="99"/>
      <c r="HN80" s="99"/>
      <c r="HO80" s="99"/>
      <c r="HP80" s="99"/>
      <c r="HQ80" s="99"/>
      <c r="HR80" s="99"/>
      <c r="HS80" s="99"/>
      <c r="HT80" s="99"/>
      <c r="HU80" s="99"/>
      <c r="HV80" s="99"/>
      <c r="HW80" s="99"/>
      <c r="HX80" s="99"/>
      <c r="HY80" s="99"/>
      <c r="HZ80" s="99"/>
      <c r="IA80" s="99"/>
      <c r="IB80" s="99"/>
      <c r="IC80" s="99"/>
      <c r="ID80" s="99"/>
      <c r="IE80" s="99"/>
      <c r="IF80" s="99"/>
      <c r="IG80" s="99"/>
      <c r="IH80" s="99"/>
      <c r="II80" s="99"/>
      <c r="IJ80" s="99"/>
      <c r="IT80" s="112"/>
    </row>
    <row r="81" spans="1:254" ht="47.25">
      <c r="B81" s="185" t="s">
        <v>151</v>
      </c>
      <c r="C81" s="292" t="s">
        <v>373</v>
      </c>
      <c r="D81" s="578" t="s">
        <v>141</v>
      </c>
      <c r="E81" s="211">
        <v>3.0000000000000001E-3</v>
      </c>
      <c r="F81" s="161"/>
      <c r="G81" s="259" t="s">
        <v>264</v>
      </c>
      <c r="H81" s="211">
        <v>3.0000000000000001E-3</v>
      </c>
      <c r="I81" s="259" t="s">
        <v>264</v>
      </c>
      <c r="J81" s="211">
        <v>3.0000000000000001E-3</v>
      </c>
      <c r="K81" s="211"/>
      <c r="L81" s="259"/>
      <c r="M81" s="211"/>
      <c r="N81" s="259"/>
      <c r="O81" s="144">
        <f>18.96/1000</f>
        <v>1.8960000000000001E-2</v>
      </c>
      <c r="P81" s="144">
        <f>3.24/1000</f>
        <v>3.2400000000000003E-3</v>
      </c>
      <c r="Q81" s="144">
        <f>P81-L81</f>
        <v>3.2400000000000003E-3</v>
      </c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  <c r="BO81" s="99"/>
      <c r="BP81" s="99"/>
      <c r="BQ81" s="99"/>
      <c r="BR81" s="99"/>
      <c r="BS81" s="99"/>
      <c r="BT81" s="99"/>
      <c r="BU81" s="99"/>
      <c r="BV81" s="99"/>
      <c r="BW81" s="99"/>
      <c r="BX81" s="99"/>
      <c r="BY81" s="99"/>
      <c r="BZ81" s="99"/>
      <c r="CA81" s="99"/>
      <c r="CB81" s="99"/>
      <c r="CC81" s="99"/>
      <c r="CD81" s="99"/>
      <c r="CE81" s="99"/>
      <c r="CF81" s="99"/>
      <c r="CG81" s="99"/>
      <c r="CH81" s="99"/>
      <c r="CI81" s="99"/>
      <c r="CJ81" s="99"/>
      <c r="CK81" s="99"/>
      <c r="CL81" s="99"/>
      <c r="CM81" s="99"/>
      <c r="CN81" s="99"/>
      <c r="CO81" s="99"/>
      <c r="CP81" s="99"/>
      <c r="CQ81" s="99"/>
      <c r="CR81" s="99"/>
      <c r="CS81" s="99"/>
      <c r="CT81" s="99"/>
      <c r="CU81" s="99"/>
      <c r="CV81" s="99"/>
      <c r="CW81" s="99"/>
      <c r="CX81" s="99"/>
      <c r="CY81" s="99"/>
      <c r="CZ81" s="99"/>
      <c r="DA81" s="99"/>
      <c r="DB81" s="99"/>
      <c r="DC81" s="99"/>
      <c r="DD81" s="99"/>
      <c r="DE81" s="99"/>
      <c r="DF81" s="99"/>
      <c r="DG81" s="99"/>
      <c r="DH81" s="99"/>
      <c r="DI81" s="99"/>
      <c r="DJ81" s="99"/>
      <c r="DK81" s="99"/>
      <c r="DL81" s="99"/>
      <c r="DM81" s="99"/>
      <c r="DN81" s="99"/>
      <c r="DO81" s="99"/>
      <c r="DP81" s="99"/>
      <c r="DQ81" s="99"/>
      <c r="DR81" s="99"/>
      <c r="DS81" s="99"/>
      <c r="DT81" s="99"/>
      <c r="DU81" s="99"/>
      <c r="DV81" s="99"/>
      <c r="DW81" s="99"/>
      <c r="DX81" s="99"/>
      <c r="DY81" s="99"/>
      <c r="DZ81" s="99"/>
      <c r="EA81" s="99"/>
      <c r="EB81" s="99"/>
      <c r="EC81" s="99"/>
      <c r="ED81" s="99"/>
      <c r="EE81" s="99"/>
      <c r="EF81" s="99"/>
      <c r="EG81" s="99"/>
      <c r="EH81" s="99"/>
      <c r="EI81" s="99"/>
      <c r="EJ81" s="99"/>
      <c r="EK81" s="99"/>
      <c r="EL81" s="99"/>
      <c r="EM81" s="99"/>
      <c r="EN81" s="99"/>
      <c r="EO81" s="99"/>
      <c r="EP81" s="99"/>
      <c r="EQ81" s="99"/>
      <c r="ER81" s="99"/>
      <c r="ES81" s="99"/>
      <c r="ET81" s="99"/>
      <c r="EU81" s="99"/>
      <c r="EV81" s="99"/>
      <c r="EW81" s="99"/>
      <c r="EX81" s="99"/>
      <c r="EY81" s="99"/>
      <c r="EZ81" s="99"/>
      <c r="FA81" s="99"/>
      <c r="FB81" s="99"/>
      <c r="FC81" s="99"/>
      <c r="FD81" s="99"/>
      <c r="FE81" s="99"/>
      <c r="FF81" s="99"/>
      <c r="FG81" s="99"/>
      <c r="FH81" s="99"/>
      <c r="FI81" s="99"/>
      <c r="FJ81" s="99"/>
      <c r="FK81" s="99"/>
      <c r="FL81" s="99"/>
      <c r="FM81" s="99"/>
      <c r="FN81" s="99"/>
      <c r="FO81" s="99"/>
      <c r="FP81" s="99"/>
      <c r="FQ81" s="99"/>
      <c r="FR81" s="99"/>
      <c r="FS81" s="99"/>
      <c r="FT81" s="99"/>
      <c r="FU81" s="99"/>
      <c r="FV81" s="99"/>
      <c r="FW81" s="99"/>
      <c r="FX81" s="99"/>
      <c r="FY81" s="99"/>
      <c r="FZ81" s="99"/>
      <c r="GA81" s="99"/>
      <c r="GB81" s="99"/>
      <c r="GC81" s="99"/>
      <c r="GD81" s="99"/>
      <c r="GE81" s="99"/>
      <c r="GF81" s="99"/>
      <c r="GG81" s="99"/>
      <c r="GH81" s="99"/>
      <c r="GI81" s="99"/>
      <c r="GJ81" s="99"/>
      <c r="GK81" s="99"/>
      <c r="GL81" s="99"/>
      <c r="GM81" s="99"/>
      <c r="GN81" s="99"/>
      <c r="GO81" s="99"/>
      <c r="GP81" s="99"/>
      <c r="GQ81" s="99"/>
      <c r="GR81" s="99"/>
      <c r="GS81" s="99"/>
      <c r="GT81" s="99"/>
      <c r="GU81" s="99"/>
      <c r="GV81" s="99"/>
      <c r="GW81" s="99"/>
      <c r="GX81" s="99"/>
      <c r="GY81" s="99"/>
      <c r="GZ81" s="99"/>
      <c r="HA81" s="99"/>
      <c r="HB81" s="99"/>
      <c r="HC81" s="99"/>
      <c r="HD81" s="99"/>
      <c r="HE81" s="99"/>
      <c r="HF81" s="99"/>
      <c r="HG81" s="99"/>
      <c r="HH81" s="99"/>
      <c r="HI81" s="99"/>
      <c r="HJ81" s="99"/>
      <c r="HK81" s="99"/>
      <c r="HL81" s="99"/>
      <c r="HM81" s="99"/>
      <c r="HN81" s="99"/>
      <c r="HO81" s="99"/>
      <c r="HP81" s="99"/>
      <c r="HQ81" s="99"/>
      <c r="HR81" s="99"/>
      <c r="HS81" s="99"/>
      <c r="HT81" s="99"/>
      <c r="HU81" s="99"/>
      <c r="HV81" s="99"/>
      <c r="HW81" s="99"/>
      <c r="HX81" s="99"/>
      <c r="HY81" s="99"/>
      <c r="HZ81" s="99"/>
      <c r="IA81" s="99"/>
      <c r="IB81" s="99"/>
      <c r="IC81" s="99"/>
      <c r="ID81" s="99"/>
      <c r="IE81" s="99"/>
      <c r="IF81" s="99"/>
      <c r="IG81" s="99"/>
      <c r="IH81" s="99"/>
      <c r="II81" s="99"/>
      <c r="IJ81" s="99"/>
      <c r="IT81" s="112"/>
    </row>
    <row r="82" spans="1:254">
      <c r="B82" s="207" t="s">
        <v>187</v>
      </c>
      <c r="C82" s="294" t="s">
        <v>237</v>
      </c>
      <c r="D82" s="579" t="s">
        <v>165</v>
      </c>
      <c r="E82" s="138" t="s">
        <v>248</v>
      </c>
      <c r="F82" s="158"/>
      <c r="G82" s="310" t="s">
        <v>557</v>
      </c>
      <c r="H82" s="138" t="s">
        <v>248</v>
      </c>
      <c r="I82" s="310" t="s">
        <v>557</v>
      </c>
      <c r="J82" s="138" t="s">
        <v>248</v>
      </c>
      <c r="K82" s="252"/>
      <c r="L82" s="230"/>
      <c r="M82" s="252"/>
      <c r="N82" s="230"/>
      <c r="O82" s="144">
        <f>19.27*8/1000</f>
        <v>0.15415999999999999</v>
      </c>
      <c r="P82" s="144"/>
      <c r="Q82" s="144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  <c r="CM82" s="99"/>
      <c r="CN82" s="99"/>
      <c r="CO82" s="99"/>
      <c r="CP82" s="99"/>
      <c r="CQ82" s="99"/>
      <c r="CR82" s="99"/>
      <c r="CS82" s="99"/>
      <c r="CT82" s="99"/>
      <c r="CU82" s="99"/>
      <c r="CV82" s="99"/>
      <c r="CW82" s="99"/>
      <c r="CX82" s="99"/>
      <c r="CY82" s="99"/>
      <c r="CZ82" s="99"/>
      <c r="DA82" s="99"/>
      <c r="DB82" s="99"/>
      <c r="DC82" s="99"/>
      <c r="DD82" s="99"/>
      <c r="DE82" s="99"/>
      <c r="DF82" s="99"/>
      <c r="DG82" s="99"/>
      <c r="DH82" s="99"/>
      <c r="DI82" s="99"/>
      <c r="DJ82" s="99"/>
      <c r="DK82" s="99"/>
      <c r="DL82" s="99"/>
      <c r="DM82" s="99"/>
      <c r="DN82" s="99"/>
      <c r="DO82" s="99"/>
      <c r="DP82" s="99"/>
      <c r="DQ82" s="99"/>
      <c r="DR82" s="99"/>
      <c r="DS82" s="99"/>
      <c r="DT82" s="99"/>
      <c r="DU82" s="99"/>
      <c r="DV82" s="99"/>
      <c r="DW82" s="99"/>
      <c r="DX82" s="99"/>
      <c r="DY82" s="99"/>
      <c r="DZ82" s="99"/>
      <c r="EA82" s="99"/>
      <c r="EB82" s="99"/>
      <c r="EC82" s="99"/>
      <c r="ED82" s="99"/>
      <c r="EE82" s="99"/>
      <c r="EF82" s="99"/>
      <c r="EG82" s="99"/>
      <c r="EH82" s="99"/>
      <c r="EI82" s="99"/>
      <c r="EJ82" s="99"/>
      <c r="EK82" s="99"/>
      <c r="EL82" s="99"/>
      <c r="EM82" s="99"/>
      <c r="EN82" s="99"/>
      <c r="EO82" s="99"/>
      <c r="EP82" s="99"/>
      <c r="EQ82" s="99"/>
      <c r="ER82" s="99"/>
      <c r="ES82" s="99"/>
      <c r="ET82" s="99"/>
      <c r="EU82" s="99"/>
      <c r="EV82" s="99"/>
      <c r="EW82" s="99"/>
      <c r="EX82" s="99"/>
      <c r="EY82" s="99"/>
      <c r="EZ82" s="99"/>
      <c r="FA82" s="99"/>
      <c r="FB82" s="99"/>
      <c r="FC82" s="99"/>
      <c r="FD82" s="99"/>
      <c r="FE82" s="99"/>
      <c r="FF82" s="99"/>
      <c r="FG82" s="99"/>
      <c r="FH82" s="99"/>
      <c r="FI82" s="99"/>
      <c r="FJ82" s="99"/>
      <c r="FK82" s="99"/>
      <c r="FL82" s="99"/>
      <c r="FM82" s="99"/>
      <c r="FN82" s="99"/>
      <c r="FO82" s="99"/>
      <c r="FP82" s="99"/>
      <c r="FQ82" s="99"/>
      <c r="FR82" s="99"/>
      <c r="FS82" s="99"/>
      <c r="FT82" s="99"/>
      <c r="FU82" s="99"/>
      <c r="FV82" s="99"/>
      <c r="FW82" s="99"/>
      <c r="FX82" s="99"/>
      <c r="FY82" s="99"/>
      <c r="FZ82" s="99"/>
      <c r="GA82" s="99"/>
      <c r="GB82" s="99"/>
      <c r="GC82" s="99"/>
      <c r="GD82" s="99"/>
      <c r="GE82" s="99"/>
      <c r="GF82" s="99"/>
      <c r="GG82" s="99"/>
      <c r="GH82" s="99"/>
      <c r="GI82" s="99"/>
      <c r="GJ82" s="99"/>
      <c r="GK82" s="99"/>
      <c r="GL82" s="99"/>
      <c r="GM82" s="99"/>
      <c r="GN82" s="99"/>
      <c r="GO82" s="99"/>
      <c r="GP82" s="99"/>
      <c r="GQ82" s="99"/>
      <c r="GR82" s="99"/>
      <c r="GS82" s="99"/>
      <c r="GT82" s="99"/>
      <c r="GU82" s="99"/>
      <c r="GV82" s="99"/>
      <c r="GW82" s="99"/>
      <c r="GX82" s="99"/>
      <c r="GY82" s="99"/>
      <c r="GZ82" s="99"/>
      <c r="HA82" s="99"/>
      <c r="HB82" s="99"/>
      <c r="HC82" s="99"/>
      <c r="HD82" s="99"/>
      <c r="HE82" s="99"/>
      <c r="HF82" s="99"/>
      <c r="HG82" s="99"/>
      <c r="HH82" s="99"/>
      <c r="HI82" s="99"/>
      <c r="HJ82" s="99"/>
      <c r="HK82" s="99"/>
      <c r="HL82" s="99"/>
      <c r="HM82" s="99"/>
      <c r="HN82" s="99"/>
      <c r="HO82" s="99"/>
      <c r="HP82" s="99"/>
      <c r="HQ82" s="99"/>
      <c r="HR82" s="99"/>
      <c r="HS82" s="99"/>
      <c r="HT82" s="99"/>
      <c r="HU82" s="99"/>
      <c r="HV82" s="99"/>
      <c r="HW82" s="99"/>
      <c r="HX82" s="99"/>
      <c r="HY82" s="99"/>
      <c r="HZ82" s="99"/>
      <c r="IA82" s="99"/>
      <c r="IB82" s="99"/>
      <c r="IC82" s="99"/>
      <c r="ID82" s="99"/>
      <c r="IE82" s="99"/>
      <c r="IF82" s="99"/>
      <c r="IG82" s="99"/>
      <c r="IH82" s="99"/>
      <c r="II82" s="99"/>
      <c r="IJ82" s="99"/>
      <c r="IT82" s="112"/>
    </row>
    <row r="83" spans="1:254" ht="34.5">
      <c r="B83" s="207" t="s">
        <v>168</v>
      </c>
      <c r="C83" s="288" t="s">
        <v>242</v>
      </c>
      <c r="D83" s="579" t="s">
        <v>560</v>
      </c>
      <c r="E83" s="138">
        <v>0.11</v>
      </c>
      <c r="F83" s="137"/>
      <c r="G83" s="230" t="s">
        <v>264</v>
      </c>
      <c r="H83" s="138">
        <v>0.11</v>
      </c>
      <c r="I83" s="230" t="s">
        <v>264</v>
      </c>
      <c r="J83" s="138">
        <v>0.11</v>
      </c>
      <c r="K83" s="138"/>
      <c r="L83" s="230"/>
      <c r="M83" s="138"/>
      <c r="N83" s="230"/>
      <c r="O83" s="144">
        <f>0.9*0.9</f>
        <v>0.81</v>
      </c>
      <c r="P83" s="144"/>
      <c r="Q83" s="144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  <c r="BO83" s="99"/>
      <c r="BP83" s="99"/>
      <c r="BQ83" s="99"/>
      <c r="BR83" s="99"/>
      <c r="BS83" s="99"/>
      <c r="BT83" s="99"/>
      <c r="BU83" s="99"/>
      <c r="BV83" s="99"/>
      <c r="BW83" s="99"/>
      <c r="BX83" s="99"/>
      <c r="BY83" s="99"/>
      <c r="BZ83" s="99"/>
      <c r="CA83" s="99"/>
      <c r="CB83" s="99"/>
      <c r="CC83" s="99"/>
      <c r="CD83" s="99"/>
      <c r="CE83" s="99"/>
      <c r="CF83" s="99"/>
      <c r="CG83" s="99"/>
      <c r="CH83" s="99"/>
      <c r="CI83" s="99"/>
      <c r="CJ83" s="99"/>
      <c r="CK83" s="99"/>
      <c r="CL83" s="99"/>
      <c r="CM83" s="99"/>
      <c r="CN83" s="99"/>
      <c r="CO83" s="99"/>
      <c r="CP83" s="99"/>
      <c r="CQ83" s="99"/>
      <c r="CR83" s="99"/>
      <c r="CS83" s="99"/>
      <c r="CT83" s="99"/>
      <c r="CU83" s="99"/>
      <c r="CV83" s="99"/>
      <c r="CW83" s="99"/>
      <c r="CX83" s="99"/>
      <c r="CY83" s="99"/>
      <c r="CZ83" s="99"/>
      <c r="DA83" s="99"/>
      <c r="DB83" s="99"/>
      <c r="DC83" s="99"/>
      <c r="DD83" s="99"/>
      <c r="DE83" s="99"/>
      <c r="DF83" s="99"/>
      <c r="DG83" s="99"/>
      <c r="DH83" s="99"/>
      <c r="DI83" s="99"/>
      <c r="DJ83" s="99"/>
      <c r="DK83" s="99"/>
      <c r="DL83" s="99"/>
      <c r="DM83" s="99"/>
      <c r="DN83" s="99"/>
      <c r="DO83" s="99"/>
      <c r="DP83" s="99"/>
      <c r="DQ83" s="99"/>
      <c r="DR83" s="99"/>
      <c r="DS83" s="99"/>
      <c r="DT83" s="99"/>
      <c r="DU83" s="99"/>
      <c r="DV83" s="99"/>
      <c r="DW83" s="99"/>
      <c r="DX83" s="99"/>
      <c r="DY83" s="99"/>
      <c r="DZ83" s="99"/>
      <c r="EA83" s="99"/>
      <c r="EB83" s="99"/>
      <c r="EC83" s="99"/>
      <c r="ED83" s="99"/>
      <c r="EE83" s="99"/>
      <c r="EF83" s="99"/>
      <c r="EG83" s="99"/>
      <c r="EH83" s="99"/>
      <c r="EI83" s="99"/>
      <c r="EJ83" s="99"/>
      <c r="EK83" s="99"/>
      <c r="EL83" s="99"/>
      <c r="EM83" s="99"/>
      <c r="EN83" s="99"/>
      <c r="EO83" s="99"/>
      <c r="EP83" s="99"/>
      <c r="EQ83" s="99"/>
      <c r="ER83" s="99"/>
      <c r="ES83" s="99"/>
      <c r="ET83" s="99"/>
      <c r="EU83" s="99"/>
      <c r="EV83" s="99"/>
      <c r="EW83" s="99"/>
      <c r="EX83" s="99"/>
      <c r="EY83" s="99"/>
      <c r="EZ83" s="99"/>
      <c r="FA83" s="99"/>
      <c r="FB83" s="99"/>
      <c r="FC83" s="99"/>
      <c r="FD83" s="99"/>
      <c r="FE83" s="99"/>
      <c r="FF83" s="99"/>
      <c r="FG83" s="99"/>
      <c r="FH83" s="99"/>
      <c r="FI83" s="99"/>
      <c r="FJ83" s="99"/>
      <c r="FK83" s="99"/>
      <c r="FL83" s="99"/>
      <c r="FM83" s="99"/>
      <c r="FN83" s="99"/>
      <c r="FO83" s="99"/>
      <c r="FP83" s="99"/>
      <c r="FQ83" s="99"/>
      <c r="FR83" s="99"/>
      <c r="FS83" s="99"/>
      <c r="FT83" s="99"/>
      <c r="FU83" s="99"/>
      <c r="FV83" s="99"/>
      <c r="FW83" s="99"/>
      <c r="FX83" s="99"/>
      <c r="FY83" s="99"/>
      <c r="FZ83" s="99"/>
      <c r="GA83" s="99"/>
      <c r="GB83" s="99"/>
      <c r="GC83" s="99"/>
      <c r="GD83" s="99"/>
      <c r="GE83" s="99"/>
      <c r="GF83" s="99"/>
      <c r="GG83" s="99"/>
      <c r="GH83" s="99"/>
      <c r="GI83" s="99"/>
      <c r="GJ83" s="99"/>
      <c r="GK83" s="99"/>
      <c r="GL83" s="99"/>
      <c r="GM83" s="99"/>
      <c r="GN83" s="99"/>
      <c r="GO83" s="99"/>
      <c r="GP83" s="99"/>
      <c r="GQ83" s="99"/>
      <c r="GR83" s="99"/>
      <c r="GS83" s="99"/>
      <c r="GT83" s="99"/>
      <c r="GU83" s="99"/>
      <c r="GV83" s="99"/>
      <c r="GW83" s="99"/>
      <c r="GX83" s="99"/>
      <c r="GY83" s="99"/>
      <c r="GZ83" s="99"/>
      <c r="HA83" s="99"/>
      <c r="HB83" s="99"/>
      <c r="HC83" s="99"/>
      <c r="HD83" s="99"/>
      <c r="HE83" s="99"/>
      <c r="HF83" s="99"/>
      <c r="HG83" s="99"/>
      <c r="HH83" s="99"/>
      <c r="HI83" s="99"/>
      <c r="HJ83" s="99"/>
      <c r="HK83" s="99"/>
      <c r="HL83" s="99"/>
      <c r="HM83" s="99"/>
      <c r="HN83" s="99"/>
      <c r="HO83" s="99"/>
      <c r="HP83" s="99"/>
      <c r="HQ83" s="99"/>
      <c r="HR83" s="99"/>
      <c r="HS83" s="99"/>
      <c r="HT83" s="99"/>
      <c r="HU83" s="99"/>
      <c r="HV83" s="99"/>
      <c r="HW83" s="99"/>
      <c r="HX83" s="99"/>
      <c r="HY83" s="99"/>
      <c r="HZ83" s="99"/>
      <c r="IA83" s="99"/>
      <c r="IB83" s="99"/>
      <c r="IC83" s="99"/>
      <c r="ID83" s="99"/>
      <c r="IE83" s="99"/>
      <c r="IF83" s="99"/>
      <c r="IG83" s="99"/>
      <c r="IH83" s="99"/>
      <c r="II83" s="99"/>
      <c r="IJ83" s="99"/>
      <c r="IT83" s="112"/>
    </row>
    <row r="84" spans="1:254" ht="47.25">
      <c r="B84" s="185" t="s">
        <v>188</v>
      </c>
      <c r="C84" s="241" t="s">
        <v>236</v>
      </c>
      <c r="D84" s="578" t="s">
        <v>563</v>
      </c>
      <c r="E84" s="211">
        <v>9.6</v>
      </c>
      <c r="F84" s="161"/>
      <c r="G84" s="259" t="s">
        <v>264</v>
      </c>
      <c r="H84" s="211">
        <v>9.6</v>
      </c>
      <c r="I84" s="259" t="s">
        <v>264</v>
      </c>
      <c r="J84" s="211">
        <v>9.6</v>
      </c>
      <c r="K84" s="211"/>
      <c r="L84" s="259"/>
      <c r="M84" s="211"/>
      <c r="N84" s="259"/>
      <c r="O84" s="144">
        <f>1.2*(1.5*2)+1.5*2.4+1.2*2.4*2</f>
        <v>12.959999999999999</v>
      </c>
      <c r="P84" s="144">
        <f>1.5*1.2*2+2.5*1.2*2</f>
        <v>9.6</v>
      </c>
      <c r="Q84" s="144">
        <f>P84-O84</f>
        <v>-3.3599999999999994</v>
      </c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  <c r="BO84" s="99"/>
      <c r="BP84" s="99"/>
      <c r="BQ84" s="99"/>
      <c r="BR84" s="99"/>
      <c r="BS84" s="99"/>
      <c r="BT84" s="99"/>
      <c r="BU84" s="99"/>
      <c r="BV84" s="99"/>
      <c r="BW84" s="99"/>
      <c r="BX84" s="99"/>
      <c r="BY84" s="99"/>
      <c r="BZ84" s="99"/>
      <c r="CA84" s="99"/>
      <c r="CB84" s="99"/>
      <c r="CC84" s="99"/>
      <c r="CD84" s="99"/>
      <c r="CE84" s="99"/>
      <c r="CF84" s="99"/>
      <c r="CG84" s="99"/>
      <c r="CH84" s="99"/>
      <c r="CI84" s="99"/>
      <c r="CJ84" s="99"/>
      <c r="CK84" s="99"/>
      <c r="CL84" s="99"/>
      <c r="CM84" s="99"/>
      <c r="CN84" s="99"/>
      <c r="CO84" s="99"/>
      <c r="CP84" s="99"/>
      <c r="CQ84" s="99"/>
      <c r="CR84" s="99"/>
      <c r="CS84" s="99"/>
      <c r="CT84" s="99"/>
      <c r="CU84" s="99"/>
      <c r="CV84" s="99"/>
      <c r="CW84" s="99"/>
      <c r="CX84" s="99"/>
      <c r="CY84" s="99"/>
      <c r="CZ84" s="99"/>
      <c r="DA84" s="99"/>
      <c r="DB84" s="99"/>
      <c r="DC84" s="99"/>
      <c r="DD84" s="99"/>
      <c r="DE84" s="99"/>
      <c r="DF84" s="99"/>
      <c r="DG84" s="99"/>
      <c r="DH84" s="99"/>
      <c r="DI84" s="99"/>
      <c r="DJ84" s="99"/>
      <c r="DK84" s="99"/>
      <c r="DL84" s="99"/>
      <c r="DM84" s="99"/>
      <c r="DN84" s="99"/>
      <c r="DO84" s="99"/>
      <c r="DP84" s="99"/>
      <c r="DQ84" s="99"/>
      <c r="DR84" s="99"/>
      <c r="DS84" s="99"/>
      <c r="DT84" s="99"/>
      <c r="DU84" s="99"/>
      <c r="DV84" s="99"/>
      <c r="DW84" s="99"/>
      <c r="DX84" s="99"/>
      <c r="DY84" s="99"/>
      <c r="DZ84" s="99"/>
      <c r="EA84" s="99"/>
      <c r="EB84" s="99"/>
      <c r="EC84" s="99"/>
      <c r="ED84" s="99"/>
      <c r="EE84" s="99"/>
      <c r="EF84" s="99"/>
      <c r="EG84" s="99"/>
      <c r="EH84" s="99"/>
      <c r="EI84" s="99"/>
      <c r="EJ84" s="99"/>
      <c r="EK84" s="99"/>
      <c r="EL84" s="99"/>
      <c r="EM84" s="99"/>
      <c r="EN84" s="99"/>
      <c r="EO84" s="99"/>
      <c r="EP84" s="99"/>
      <c r="EQ84" s="99"/>
      <c r="ER84" s="99"/>
      <c r="ES84" s="99"/>
      <c r="ET84" s="99"/>
      <c r="EU84" s="99"/>
      <c r="EV84" s="99"/>
      <c r="EW84" s="99"/>
      <c r="EX84" s="99"/>
      <c r="EY84" s="99"/>
      <c r="EZ84" s="99"/>
      <c r="FA84" s="99"/>
      <c r="FB84" s="99"/>
      <c r="FC84" s="99"/>
      <c r="FD84" s="99"/>
      <c r="FE84" s="99"/>
      <c r="FF84" s="99"/>
      <c r="FG84" s="99"/>
      <c r="FH84" s="99"/>
      <c r="FI84" s="99"/>
      <c r="FJ84" s="99"/>
      <c r="FK84" s="99"/>
      <c r="FL84" s="99"/>
      <c r="FM84" s="99"/>
      <c r="FN84" s="99"/>
      <c r="FO84" s="99"/>
      <c r="FP84" s="99"/>
      <c r="FQ84" s="99"/>
      <c r="FR84" s="99"/>
      <c r="FS84" s="99"/>
      <c r="FT84" s="99"/>
      <c r="FU84" s="99"/>
      <c r="FV84" s="99"/>
      <c r="FW84" s="99"/>
      <c r="FX84" s="99"/>
      <c r="FY84" s="99"/>
      <c r="FZ84" s="99"/>
      <c r="GA84" s="99"/>
      <c r="GB84" s="99"/>
      <c r="GC84" s="99"/>
      <c r="GD84" s="99"/>
      <c r="GE84" s="99"/>
      <c r="GF84" s="99"/>
      <c r="GG84" s="99"/>
      <c r="GH84" s="99"/>
      <c r="GI84" s="99"/>
      <c r="GJ84" s="99"/>
      <c r="GK84" s="99"/>
      <c r="GL84" s="99"/>
      <c r="GM84" s="99"/>
      <c r="GN84" s="99"/>
      <c r="GO84" s="99"/>
      <c r="GP84" s="99"/>
      <c r="GQ84" s="99"/>
      <c r="GR84" s="99"/>
      <c r="GS84" s="99"/>
      <c r="GT84" s="99"/>
      <c r="GU84" s="99"/>
      <c r="GV84" s="99"/>
      <c r="GW84" s="99"/>
      <c r="GX84" s="99"/>
      <c r="GY84" s="99"/>
      <c r="GZ84" s="99"/>
      <c r="HA84" s="99"/>
      <c r="HB84" s="99"/>
      <c r="HC84" s="99"/>
      <c r="HD84" s="99"/>
      <c r="HE84" s="99"/>
      <c r="HF84" s="99"/>
      <c r="HG84" s="99"/>
      <c r="HH84" s="99"/>
      <c r="HI84" s="99"/>
      <c r="HJ84" s="99"/>
      <c r="HK84" s="99"/>
      <c r="HL84" s="99"/>
      <c r="HM84" s="99"/>
      <c r="HN84" s="99"/>
      <c r="HO84" s="99"/>
      <c r="HP84" s="99"/>
      <c r="HQ84" s="99"/>
      <c r="HR84" s="99"/>
      <c r="HS84" s="99"/>
      <c r="HT84" s="99"/>
      <c r="HU84" s="99"/>
      <c r="HV84" s="99"/>
      <c r="HW84" s="99"/>
      <c r="HX84" s="99"/>
      <c r="HY84" s="99"/>
      <c r="HZ84" s="99"/>
      <c r="IA84" s="99"/>
      <c r="IB84" s="99"/>
      <c r="IC84" s="99"/>
      <c r="ID84" s="99"/>
      <c r="IE84" s="99"/>
      <c r="IF84" s="99"/>
      <c r="IG84" s="99"/>
      <c r="IH84" s="99"/>
      <c r="II84" s="99"/>
      <c r="IJ84" s="99"/>
    </row>
    <row r="85" spans="1:254">
      <c r="B85" s="213" t="s">
        <v>189</v>
      </c>
      <c r="C85" s="251" t="s">
        <v>307</v>
      </c>
      <c r="D85" s="580" t="s">
        <v>141</v>
      </c>
      <c r="E85" s="215">
        <v>0.02</v>
      </c>
      <c r="F85" s="188"/>
      <c r="G85" s="231" t="s">
        <v>264</v>
      </c>
      <c r="H85" s="215">
        <v>0.02</v>
      </c>
      <c r="I85" s="231" t="s">
        <v>264</v>
      </c>
      <c r="J85" s="215">
        <v>0.02</v>
      </c>
      <c r="K85" s="215"/>
      <c r="L85" s="231"/>
      <c r="M85" s="215"/>
      <c r="N85" s="231"/>
      <c r="O85" s="144">
        <f>(0.62*8+1.9*8)/1000</f>
        <v>2.0160000000000001E-2</v>
      </c>
      <c r="P85" s="144"/>
      <c r="Q85" s="144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  <c r="BO85" s="99"/>
      <c r="BP85" s="99"/>
      <c r="BQ85" s="99"/>
      <c r="BR85" s="99"/>
      <c r="BS85" s="99"/>
      <c r="BT85" s="99"/>
      <c r="BU85" s="99"/>
      <c r="BV85" s="99"/>
      <c r="BW85" s="99"/>
      <c r="BX85" s="99"/>
      <c r="BY85" s="99"/>
      <c r="BZ85" s="99"/>
      <c r="CA85" s="99"/>
      <c r="CB85" s="99"/>
      <c r="CC85" s="99"/>
      <c r="CD85" s="99"/>
      <c r="CE85" s="99"/>
      <c r="CF85" s="99"/>
      <c r="CG85" s="99"/>
      <c r="CH85" s="99"/>
      <c r="CI85" s="99"/>
      <c r="CJ85" s="99"/>
      <c r="CK85" s="99"/>
      <c r="CL85" s="99"/>
      <c r="CM85" s="99"/>
      <c r="CN85" s="99"/>
      <c r="CO85" s="99"/>
      <c r="CP85" s="99"/>
      <c r="CQ85" s="99"/>
      <c r="CR85" s="99"/>
      <c r="CS85" s="99"/>
      <c r="CT85" s="99"/>
      <c r="CU85" s="99"/>
      <c r="CV85" s="99"/>
      <c r="CW85" s="99"/>
      <c r="CX85" s="99"/>
      <c r="CY85" s="99"/>
      <c r="CZ85" s="99"/>
      <c r="DA85" s="99"/>
      <c r="DB85" s="99"/>
      <c r="DC85" s="99"/>
      <c r="DD85" s="99"/>
      <c r="DE85" s="99"/>
      <c r="DF85" s="99"/>
      <c r="DG85" s="99"/>
      <c r="DH85" s="99"/>
      <c r="DI85" s="99"/>
      <c r="DJ85" s="99"/>
      <c r="DK85" s="99"/>
      <c r="DL85" s="99"/>
      <c r="DM85" s="99"/>
      <c r="DN85" s="99"/>
      <c r="DO85" s="99"/>
      <c r="DP85" s="99"/>
      <c r="DQ85" s="99"/>
      <c r="DR85" s="99"/>
      <c r="DS85" s="99"/>
      <c r="DT85" s="99"/>
      <c r="DU85" s="99"/>
      <c r="DV85" s="99"/>
      <c r="DW85" s="99"/>
      <c r="DX85" s="99"/>
      <c r="DY85" s="99"/>
      <c r="DZ85" s="99"/>
      <c r="EA85" s="99"/>
      <c r="EB85" s="99"/>
      <c r="EC85" s="99"/>
      <c r="ED85" s="99"/>
      <c r="EE85" s="99"/>
      <c r="EF85" s="99"/>
      <c r="EG85" s="99"/>
      <c r="EH85" s="99"/>
      <c r="EI85" s="99"/>
      <c r="EJ85" s="99"/>
      <c r="EK85" s="99"/>
      <c r="EL85" s="99"/>
      <c r="EM85" s="99"/>
      <c r="EN85" s="99"/>
      <c r="EO85" s="99"/>
      <c r="EP85" s="99"/>
      <c r="EQ85" s="99"/>
      <c r="ER85" s="99"/>
      <c r="ES85" s="99"/>
      <c r="ET85" s="99"/>
      <c r="EU85" s="99"/>
      <c r="EV85" s="99"/>
      <c r="EW85" s="99"/>
      <c r="EX85" s="99"/>
      <c r="EY85" s="99"/>
      <c r="EZ85" s="99"/>
      <c r="FA85" s="99"/>
      <c r="FB85" s="99"/>
      <c r="FC85" s="99"/>
      <c r="FD85" s="99"/>
      <c r="FE85" s="99"/>
      <c r="FF85" s="99"/>
      <c r="FG85" s="99"/>
      <c r="FH85" s="99"/>
      <c r="FI85" s="99"/>
      <c r="FJ85" s="99"/>
      <c r="FK85" s="99"/>
      <c r="FL85" s="99"/>
      <c r="FM85" s="99"/>
      <c r="FN85" s="99"/>
      <c r="FO85" s="99"/>
      <c r="FP85" s="99"/>
      <c r="FQ85" s="99"/>
      <c r="FR85" s="99"/>
      <c r="FS85" s="99"/>
      <c r="FT85" s="99"/>
      <c r="FU85" s="99"/>
      <c r="FV85" s="99"/>
      <c r="FW85" s="99"/>
      <c r="FX85" s="99"/>
      <c r="FY85" s="99"/>
      <c r="FZ85" s="99"/>
      <c r="GA85" s="99"/>
      <c r="GB85" s="99"/>
      <c r="GC85" s="99"/>
      <c r="GD85" s="99"/>
      <c r="GE85" s="99"/>
      <c r="GF85" s="99"/>
      <c r="GG85" s="99"/>
      <c r="GH85" s="99"/>
      <c r="GI85" s="99"/>
      <c r="GJ85" s="99"/>
      <c r="GK85" s="99"/>
      <c r="GL85" s="99"/>
      <c r="GM85" s="99"/>
      <c r="GN85" s="99"/>
      <c r="GO85" s="99"/>
      <c r="GP85" s="99"/>
      <c r="GQ85" s="99"/>
      <c r="GR85" s="99"/>
      <c r="GS85" s="99"/>
      <c r="GT85" s="99"/>
      <c r="GU85" s="99"/>
      <c r="GV85" s="99"/>
      <c r="GW85" s="99"/>
      <c r="GX85" s="99"/>
      <c r="GY85" s="99"/>
      <c r="GZ85" s="99"/>
      <c r="HA85" s="99"/>
      <c r="HB85" s="99"/>
      <c r="HC85" s="99"/>
      <c r="HD85" s="99"/>
      <c r="HE85" s="99"/>
      <c r="HF85" s="99"/>
      <c r="HG85" s="99"/>
      <c r="HH85" s="99"/>
      <c r="HI85" s="99"/>
      <c r="HJ85" s="99"/>
      <c r="HK85" s="99"/>
      <c r="HL85" s="99"/>
      <c r="HM85" s="99"/>
      <c r="HN85" s="99"/>
      <c r="HO85" s="99"/>
      <c r="HP85" s="99"/>
      <c r="HQ85" s="99"/>
      <c r="HR85" s="99"/>
      <c r="HS85" s="99"/>
      <c r="HT85" s="99"/>
      <c r="HU85" s="99"/>
      <c r="HV85" s="99"/>
      <c r="HW85" s="99"/>
      <c r="HX85" s="99"/>
      <c r="HY85" s="99"/>
      <c r="HZ85" s="99"/>
      <c r="IA85" s="99"/>
      <c r="IB85" s="99"/>
      <c r="IC85" s="99"/>
      <c r="ID85" s="99"/>
      <c r="IE85" s="99"/>
      <c r="IF85" s="99"/>
      <c r="IG85" s="99"/>
      <c r="IH85" s="99"/>
      <c r="II85" s="99"/>
      <c r="IJ85" s="99"/>
      <c r="IT85" s="112"/>
    </row>
    <row r="86" spans="1:254">
      <c r="A86" s="164"/>
      <c r="B86" s="207" t="s">
        <v>190</v>
      </c>
      <c r="C86" s="216" t="s">
        <v>243</v>
      </c>
      <c r="D86" s="217" t="s">
        <v>141</v>
      </c>
      <c r="E86" s="207" t="s">
        <v>245</v>
      </c>
      <c r="F86" s="151"/>
      <c r="G86" s="226" t="s">
        <v>264</v>
      </c>
      <c r="H86" s="207" t="s">
        <v>245</v>
      </c>
      <c r="I86" s="226" t="s">
        <v>264</v>
      </c>
      <c r="J86" s="207" t="s">
        <v>245</v>
      </c>
      <c r="K86" s="207"/>
      <c r="L86" s="226"/>
      <c r="M86" s="207"/>
      <c r="N86" s="226"/>
      <c r="O86" s="166">
        <f>7.34*2/1000</f>
        <v>1.468E-2</v>
      </c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  <c r="BO86" s="99"/>
      <c r="BP86" s="99"/>
      <c r="BQ86" s="99"/>
      <c r="BR86" s="99"/>
      <c r="BS86" s="99"/>
      <c r="BT86" s="99"/>
      <c r="BU86" s="99"/>
      <c r="BV86" s="99"/>
      <c r="BW86" s="99"/>
      <c r="BX86" s="99"/>
      <c r="BY86" s="99"/>
      <c r="BZ86" s="99"/>
      <c r="CA86" s="99"/>
      <c r="CB86" s="99"/>
      <c r="CC86" s="99"/>
      <c r="CD86" s="99"/>
      <c r="CE86" s="99"/>
      <c r="CF86" s="99"/>
      <c r="CG86" s="99"/>
      <c r="CH86" s="99"/>
      <c r="CI86" s="99"/>
      <c r="CJ86" s="99"/>
      <c r="CK86" s="99"/>
      <c r="CL86" s="99"/>
      <c r="CM86" s="99"/>
      <c r="CN86" s="99"/>
      <c r="CO86" s="99"/>
      <c r="CP86" s="99"/>
      <c r="CQ86" s="99"/>
      <c r="CR86" s="99"/>
      <c r="CS86" s="99"/>
      <c r="CT86" s="99"/>
      <c r="CU86" s="99"/>
      <c r="CV86" s="99"/>
      <c r="CW86" s="99"/>
      <c r="CX86" s="99"/>
      <c r="CY86" s="99"/>
      <c r="CZ86" s="99"/>
      <c r="DA86" s="99"/>
      <c r="DB86" s="99"/>
      <c r="DC86" s="99"/>
      <c r="DD86" s="99"/>
      <c r="DE86" s="99"/>
      <c r="DF86" s="99"/>
      <c r="DG86" s="99"/>
      <c r="DH86" s="99"/>
      <c r="DI86" s="99"/>
      <c r="DJ86" s="99"/>
      <c r="DK86" s="99"/>
      <c r="DL86" s="99"/>
      <c r="DM86" s="99"/>
      <c r="DN86" s="99"/>
      <c r="DO86" s="99"/>
      <c r="DP86" s="99"/>
      <c r="DQ86" s="99"/>
      <c r="DR86" s="99"/>
      <c r="DS86" s="99"/>
      <c r="DT86" s="99"/>
      <c r="DU86" s="99"/>
      <c r="DV86" s="99"/>
      <c r="DW86" s="99"/>
      <c r="DX86" s="99"/>
      <c r="DY86" s="99"/>
      <c r="DZ86" s="99"/>
      <c r="EA86" s="99"/>
      <c r="EB86" s="99"/>
      <c r="EC86" s="99"/>
      <c r="ED86" s="99"/>
      <c r="EE86" s="99"/>
      <c r="EF86" s="99"/>
      <c r="EG86" s="99"/>
      <c r="EH86" s="99"/>
      <c r="EI86" s="99"/>
      <c r="EJ86" s="99"/>
      <c r="EK86" s="99"/>
      <c r="EL86" s="99"/>
      <c r="EM86" s="99"/>
      <c r="EN86" s="99"/>
      <c r="EO86" s="99"/>
      <c r="EP86" s="99"/>
      <c r="EQ86" s="99"/>
      <c r="ER86" s="99"/>
      <c r="ES86" s="99"/>
      <c r="ET86" s="99"/>
      <c r="EU86" s="99"/>
      <c r="EV86" s="99"/>
      <c r="EW86" s="99"/>
      <c r="EX86" s="99"/>
      <c r="EY86" s="99"/>
      <c r="EZ86" s="99"/>
      <c r="FA86" s="99"/>
      <c r="FB86" s="99"/>
      <c r="FC86" s="99"/>
      <c r="FD86" s="99"/>
      <c r="FE86" s="99"/>
      <c r="FF86" s="99"/>
      <c r="FG86" s="99"/>
      <c r="FH86" s="99"/>
      <c r="FI86" s="99"/>
      <c r="FJ86" s="99"/>
      <c r="FK86" s="99"/>
      <c r="FL86" s="99"/>
      <c r="FM86" s="99"/>
      <c r="FN86" s="99"/>
      <c r="FO86" s="99"/>
      <c r="FP86" s="99"/>
      <c r="FQ86" s="99"/>
      <c r="FR86" s="99"/>
      <c r="FS86" s="99"/>
      <c r="FT86" s="99"/>
      <c r="FU86" s="99"/>
      <c r="FV86" s="99"/>
      <c r="FW86" s="99"/>
      <c r="FX86" s="99"/>
      <c r="FY86" s="99"/>
      <c r="FZ86" s="99"/>
      <c r="GA86" s="99"/>
      <c r="GB86" s="99"/>
      <c r="GC86" s="99"/>
      <c r="GD86" s="99"/>
      <c r="GE86" s="99"/>
      <c r="GF86" s="99"/>
      <c r="GG86" s="99"/>
      <c r="GH86" s="99"/>
      <c r="GI86" s="99"/>
      <c r="GJ86" s="99"/>
      <c r="GK86" s="99"/>
      <c r="GL86" s="99"/>
      <c r="GM86" s="99"/>
      <c r="GN86" s="99"/>
      <c r="GO86" s="99"/>
      <c r="GP86" s="99"/>
      <c r="GQ86" s="99"/>
      <c r="GR86" s="99"/>
      <c r="GS86" s="99"/>
      <c r="GT86" s="99"/>
      <c r="GU86" s="99"/>
      <c r="GV86" s="99"/>
      <c r="GW86" s="99"/>
      <c r="GX86" s="99"/>
      <c r="GY86" s="99"/>
      <c r="GZ86" s="99"/>
      <c r="HA86" s="99"/>
      <c r="HB86" s="99"/>
      <c r="HC86" s="99"/>
      <c r="HD86" s="99"/>
      <c r="HE86" s="99"/>
      <c r="HF86" s="99"/>
      <c r="HG86" s="99"/>
      <c r="HH86" s="99"/>
      <c r="HI86" s="99"/>
      <c r="HJ86" s="99"/>
      <c r="HK86" s="99"/>
      <c r="HL86" s="99"/>
      <c r="HM86" s="99"/>
      <c r="HN86" s="99"/>
      <c r="HO86" s="99"/>
      <c r="HP86" s="99"/>
      <c r="HQ86" s="99"/>
      <c r="HR86" s="99"/>
      <c r="HS86" s="99"/>
      <c r="HT86" s="99"/>
      <c r="HU86" s="99"/>
      <c r="HV86" s="99"/>
      <c r="HW86" s="99"/>
      <c r="HX86" s="99"/>
      <c r="HY86" s="99"/>
      <c r="HZ86" s="99"/>
      <c r="IA86" s="99"/>
      <c r="IB86" s="99"/>
      <c r="IC86" s="99"/>
      <c r="ID86" s="99"/>
      <c r="IE86" s="99"/>
      <c r="IF86" s="99"/>
      <c r="IG86" s="99"/>
      <c r="IH86" s="99"/>
      <c r="IT86" s="112"/>
    </row>
    <row r="87" spans="1:254" ht="32.25" thickBot="1">
      <c r="B87" s="246"/>
      <c r="C87" s="247" t="s">
        <v>249</v>
      </c>
      <c r="D87" s="248"/>
      <c r="E87" s="272"/>
      <c r="F87" s="248"/>
      <c r="G87" s="253"/>
      <c r="H87" s="272"/>
      <c r="I87" s="253"/>
      <c r="J87" s="272"/>
      <c r="K87" s="244"/>
      <c r="L87" s="272"/>
      <c r="M87" s="244"/>
      <c r="N87" s="272"/>
      <c r="O87" s="128"/>
      <c r="P87" s="128"/>
      <c r="Q87" s="125"/>
      <c r="R87" s="125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  <c r="CM87" s="99"/>
      <c r="CN87" s="99"/>
      <c r="CO87" s="99"/>
      <c r="CP87" s="99"/>
      <c r="CQ87" s="99"/>
      <c r="CR87" s="99"/>
      <c r="CS87" s="99"/>
      <c r="CT87" s="99"/>
      <c r="CU87" s="99"/>
      <c r="CV87" s="99"/>
      <c r="CW87" s="99"/>
      <c r="CX87" s="99"/>
      <c r="CY87" s="99"/>
      <c r="CZ87" s="99"/>
      <c r="DA87" s="99"/>
      <c r="DB87" s="99"/>
      <c r="DC87" s="99"/>
      <c r="DD87" s="99"/>
      <c r="DE87" s="99"/>
      <c r="DF87" s="99"/>
      <c r="DG87" s="99"/>
      <c r="DH87" s="99"/>
      <c r="DI87" s="99"/>
      <c r="DJ87" s="99"/>
      <c r="DK87" s="99"/>
      <c r="DL87" s="99"/>
      <c r="DM87" s="99"/>
      <c r="DN87" s="99"/>
      <c r="DO87" s="99"/>
      <c r="DP87" s="99"/>
      <c r="DQ87" s="99"/>
      <c r="DR87" s="99"/>
      <c r="DS87" s="99"/>
      <c r="DT87" s="99"/>
      <c r="DU87" s="99"/>
      <c r="DV87" s="99"/>
      <c r="DW87" s="99"/>
      <c r="DX87" s="99"/>
      <c r="DY87" s="99"/>
      <c r="DZ87" s="99"/>
      <c r="EA87" s="99"/>
      <c r="EB87" s="99"/>
      <c r="EC87" s="99"/>
      <c r="ED87" s="99"/>
      <c r="EE87" s="99"/>
      <c r="EF87" s="99"/>
      <c r="EG87" s="99"/>
      <c r="EH87" s="99"/>
      <c r="EI87" s="99"/>
      <c r="EJ87" s="99"/>
      <c r="EK87" s="99"/>
      <c r="EL87" s="99"/>
      <c r="EM87" s="99"/>
      <c r="EN87" s="99"/>
      <c r="EO87" s="99"/>
      <c r="EP87" s="99"/>
      <c r="EQ87" s="99"/>
      <c r="ER87" s="99"/>
      <c r="ES87" s="99"/>
      <c r="ET87" s="99"/>
      <c r="EU87" s="99"/>
      <c r="EV87" s="99"/>
      <c r="EW87" s="99"/>
      <c r="EX87" s="99"/>
      <c r="EY87" s="99"/>
      <c r="EZ87" s="99"/>
      <c r="FA87" s="99"/>
      <c r="FB87" s="99"/>
      <c r="FC87" s="99"/>
      <c r="FD87" s="99"/>
      <c r="FE87" s="99"/>
      <c r="FF87" s="99"/>
      <c r="FG87" s="99"/>
      <c r="FH87" s="99"/>
      <c r="FI87" s="99"/>
      <c r="FJ87" s="99"/>
      <c r="FK87" s="99"/>
      <c r="FL87" s="99"/>
      <c r="FM87" s="99"/>
      <c r="FN87" s="99"/>
      <c r="FO87" s="99"/>
      <c r="FP87" s="99"/>
      <c r="FQ87" s="99"/>
      <c r="FR87" s="99"/>
      <c r="FS87" s="99"/>
      <c r="FT87" s="99"/>
      <c r="FU87" s="99"/>
      <c r="FV87" s="99"/>
      <c r="FW87" s="99"/>
      <c r="FX87" s="99"/>
      <c r="FY87" s="99"/>
      <c r="FZ87" s="99"/>
      <c r="GA87" s="99"/>
      <c r="GB87" s="99"/>
      <c r="GC87" s="99"/>
      <c r="GD87" s="99"/>
      <c r="GE87" s="99"/>
      <c r="GF87" s="99"/>
      <c r="GG87" s="99"/>
      <c r="GH87" s="99"/>
      <c r="GI87" s="99"/>
      <c r="GJ87" s="99"/>
      <c r="GK87" s="99"/>
      <c r="GL87" s="99"/>
      <c r="GM87" s="99"/>
      <c r="GN87" s="99"/>
      <c r="GO87" s="99"/>
      <c r="GP87" s="99"/>
      <c r="GQ87" s="99"/>
      <c r="GR87" s="99"/>
      <c r="GS87" s="99"/>
      <c r="GT87" s="99"/>
      <c r="GU87" s="99"/>
      <c r="GV87" s="99"/>
      <c r="GW87" s="99"/>
      <c r="GX87" s="99"/>
      <c r="GY87" s="99"/>
      <c r="GZ87" s="99"/>
      <c r="HA87" s="99"/>
      <c r="HB87" s="99"/>
      <c r="HC87" s="99"/>
      <c r="HD87" s="99"/>
      <c r="HE87" s="99"/>
      <c r="HF87" s="99"/>
      <c r="HG87" s="99"/>
      <c r="HH87" s="99"/>
      <c r="HI87" s="99"/>
      <c r="HJ87" s="99"/>
      <c r="HK87" s="99"/>
      <c r="HL87" s="99"/>
      <c r="HM87" s="99"/>
      <c r="HN87" s="99"/>
      <c r="HO87" s="99"/>
      <c r="HP87" s="99"/>
      <c r="HQ87" s="99"/>
      <c r="HR87" s="99"/>
      <c r="HS87" s="99"/>
      <c r="HT87" s="99"/>
      <c r="HU87" s="99"/>
      <c r="HV87" s="99"/>
      <c r="HW87" s="99"/>
      <c r="HX87" s="99"/>
      <c r="HY87" s="99"/>
      <c r="HZ87" s="99"/>
      <c r="IA87" s="99"/>
      <c r="IB87" s="99"/>
      <c r="IC87" s="99"/>
      <c r="ID87" s="99"/>
      <c r="IE87" s="99"/>
      <c r="IF87" s="99"/>
      <c r="IG87" s="99"/>
      <c r="IH87" s="99"/>
      <c r="II87" s="99"/>
      <c r="IJ87" s="99"/>
      <c r="IT87" s="112"/>
    </row>
    <row r="88" spans="1:254" ht="18.75">
      <c r="B88" s="203" t="s">
        <v>155</v>
      </c>
      <c r="C88" s="237" t="s">
        <v>234</v>
      </c>
      <c r="D88" s="187" t="s">
        <v>560</v>
      </c>
      <c r="E88" s="176">
        <v>0.47</v>
      </c>
      <c r="F88" s="175"/>
      <c r="G88" s="176" t="s">
        <v>264</v>
      </c>
      <c r="H88" s="176">
        <v>0.47</v>
      </c>
      <c r="I88" s="176" t="s">
        <v>264</v>
      </c>
      <c r="J88" s="176">
        <v>0.47</v>
      </c>
      <c r="K88" s="176"/>
      <c r="L88" s="176"/>
      <c r="M88" s="176"/>
      <c r="N88" s="176"/>
      <c r="O88" s="144">
        <f>0.1*1.7*1.7</f>
        <v>0.28900000000000003</v>
      </c>
      <c r="P88" s="144">
        <v>0.47</v>
      </c>
      <c r="Q88" s="144">
        <f>P88-H88</f>
        <v>0</v>
      </c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  <c r="BO88" s="99"/>
      <c r="BP88" s="99"/>
      <c r="BQ88" s="99"/>
      <c r="BR88" s="99"/>
      <c r="BS88" s="99"/>
      <c r="BT88" s="99"/>
      <c r="BU88" s="99"/>
      <c r="BV88" s="99"/>
      <c r="BW88" s="99"/>
      <c r="BX88" s="99"/>
      <c r="BY88" s="99"/>
      <c r="BZ88" s="99"/>
      <c r="CA88" s="99"/>
      <c r="CB88" s="99"/>
      <c r="CC88" s="99"/>
      <c r="CD88" s="99"/>
      <c r="CE88" s="99"/>
      <c r="CF88" s="99"/>
      <c r="CG88" s="99"/>
      <c r="CH88" s="99"/>
      <c r="CI88" s="99"/>
      <c r="CJ88" s="99"/>
      <c r="CK88" s="99"/>
      <c r="CL88" s="99"/>
      <c r="CM88" s="99"/>
      <c r="CN88" s="99"/>
      <c r="CO88" s="99"/>
      <c r="CP88" s="99"/>
      <c r="CQ88" s="99"/>
      <c r="CR88" s="99"/>
      <c r="CS88" s="99"/>
      <c r="CT88" s="99"/>
      <c r="CU88" s="99"/>
      <c r="CV88" s="99"/>
      <c r="CW88" s="99"/>
      <c r="CX88" s="99"/>
      <c r="CY88" s="99"/>
      <c r="CZ88" s="99"/>
      <c r="DA88" s="99"/>
      <c r="DB88" s="99"/>
      <c r="DC88" s="99"/>
      <c r="DD88" s="99"/>
      <c r="DE88" s="99"/>
      <c r="DF88" s="99"/>
      <c r="DG88" s="99"/>
      <c r="DH88" s="99"/>
      <c r="DI88" s="99"/>
      <c r="DJ88" s="99"/>
      <c r="DK88" s="99"/>
      <c r="DL88" s="99"/>
      <c r="DM88" s="99"/>
      <c r="DN88" s="99"/>
      <c r="DO88" s="99"/>
      <c r="DP88" s="99"/>
      <c r="DQ88" s="99"/>
      <c r="DR88" s="99"/>
      <c r="DS88" s="99"/>
      <c r="DT88" s="99"/>
      <c r="DU88" s="99"/>
      <c r="DV88" s="99"/>
      <c r="DW88" s="99"/>
      <c r="DX88" s="99"/>
      <c r="DY88" s="99"/>
      <c r="DZ88" s="99"/>
      <c r="EA88" s="99"/>
      <c r="EB88" s="99"/>
      <c r="EC88" s="99"/>
      <c r="ED88" s="99"/>
      <c r="EE88" s="99"/>
      <c r="EF88" s="99"/>
      <c r="EG88" s="99"/>
      <c r="EH88" s="99"/>
      <c r="EI88" s="99"/>
      <c r="EJ88" s="99"/>
      <c r="EK88" s="99"/>
      <c r="EL88" s="99"/>
      <c r="EM88" s="99"/>
      <c r="EN88" s="99"/>
      <c r="EO88" s="99"/>
      <c r="EP88" s="99"/>
      <c r="EQ88" s="99"/>
      <c r="ER88" s="99"/>
      <c r="ES88" s="99"/>
      <c r="ET88" s="99"/>
      <c r="EU88" s="99"/>
      <c r="EV88" s="99"/>
      <c r="EW88" s="99"/>
      <c r="EX88" s="99"/>
      <c r="EY88" s="99"/>
      <c r="EZ88" s="99"/>
      <c r="FA88" s="99"/>
      <c r="FB88" s="99"/>
      <c r="FC88" s="99"/>
      <c r="FD88" s="99"/>
      <c r="FE88" s="99"/>
      <c r="FF88" s="99"/>
      <c r="FG88" s="99"/>
      <c r="FH88" s="99"/>
      <c r="FI88" s="99"/>
      <c r="FJ88" s="99"/>
      <c r="FK88" s="99"/>
      <c r="FL88" s="99"/>
      <c r="FM88" s="99"/>
      <c r="FN88" s="99"/>
      <c r="FO88" s="99"/>
      <c r="FP88" s="99"/>
      <c r="FQ88" s="99"/>
      <c r="FR88" s="99"/>
      <c r="FS88" s="99"/>
      <c r="FT88" s="99"/>
      <c r="FU88" s="99"/>
      <c r="FV88" s="99"/>
      <c r="FW88" s="99"/>
      <c r="FX88" s="99"/>
      <c r="FY88" s="99"/>
      <c r="FZ88" s="99"/>
      <c r="GA88" s="99"/>
      <c r="GB88" s="99"/>
      <c r="GC88" s="99"/>
      <c r="GD88" s="99"/>
      <c r="GE88" s="99"/>
      <c r="GF88" s="99"/>
      <c r="GG88" s="99"/>
      <c r="GH88" s="99"/>
      <c r="GI88" s="99"/>
      <c r="GJ88" s="99"/>
      <c r="GK88" s="99"/>
      <c r="GL88" s="99"/>
      <c r="GM88" s="99"/>
      <c r="GN88" s="99"/>
      <c r="GO88" s="99"/>
      <c r="GP88" s="99"/>
      <c r="GQ88" s="99"/>
      <c r="GR88" s="99"/>
      <c r="GS88" s="99"/>
      <c r="GT88" s="99"/>
      <c r="GU88" s="99"/>
      <c r="GV88" s="99"/>
      <c r="GW88" s="99"/>
      <c r="GX88" s="99"/>
      <c r="GY88" s="99"/>
      <c r="GZ88" s="99"/>
      <c r="HA88" s="99"/>
      <c r="HB88" s="99"/>
      <c r="HC88" s="99"/>
      <c r="HD88" s="99"/>
      <c r="HE88" s="99"/>
      <c r="HF88" s="99"/>
      <c r="HG88" s="99"/>
      <c r="HH88" s="99"/>
      <c r="HI88" s="99"/>
      <c r="HJ88" s="99"/>
      <c r="HK88" s="99"/>
      <c r="HL88" s="99"/>
      <c r="HM88" s="99"/>
      <c r="HN88" s="99"/>
      <c r="HO88" s="99"/>
      <c r="HP88" s="99"/>
      <c r="HQ88" s="99"/>
      <c r="HR88" s="99"/>
      <c r="HS88" s="99"/>
      <c r="HT88" s="99"/>
      <c r="HU88" s="99"/>
      <c r="HV88" s="99"/>
      <c r="HW88" s="99"/>
      <c r="HX88" s="99"/>
      <c r="HY88" s="99"/>
      <c r="HZ88" s="99"/>
      <c r="IA88" s="99"/>
      <c r="IB88" s="99"/>
      <c r="IC88" s="99"/>
      <c r="ID88" s="99"/>
      <c r="IE88" s="99"/>
      <c r="IF88" s="99"/>
      <c r="IG88" s="99"/>
      <c r="IH88" s="99"/>
      <c r="II88" s="99"/>
      <c r="IJ88" s="99"/>
      <c r="IT88" s="112"/>
    </row>
    <row r="89" spans="1:254" ht="34.5">
      <c r="B89" s="186" t="s">
        <v>156</v>
      </c>
      <c r="C89" s="285" t="s">
        <v>311</v>
      </c>
      <c r="D89" s="136" t="s">
        <v>560</v>
      </c>
      <c r="E89" s="159">
        <v>4.6100000000000003</v>
      </c>
      <c r="F89" s="160"/>
      <c r="G89" s="159" t="s">
        <v>264</v>
      </c>
      <c r="H89" s="159">
        <v>4.6100000000000003</v>
      </c>
      <c r="I89" s="159" t="s">
        <v>264</v>
      </c>
      <c r="J89" s="159">
        <v>4.6100000000000003</v>
      </c>
      <c r="K89" s="159"/>
      <c r="L89" s="159"/>
      <c r="M89" s="159"/>
      <c r="N89" s="159"/>
      <c r="O89" s="144">
        <f>1.5*1.5*0.6</f>
        <v>1.3499999999999999</v>
      </c>
      <c r="P89" s="144">
        <v>4.32</v>
      </c>
      <c r="Q89" s="144">
        <f>P89-L89</f>
        <v>4.32</v>
      </c>
      <c r="R89" s="99">
        <v>4.6100000000000003</v>
      </c>
      <c r="S89" s="144">
        <f>R89-H89</f>
        <v>0</v>
      </c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  <c r="BO89" s="99"/>
      <c r="BP89" s="99"/>
      <c r="BQ89" s="99"/>
      <c r="BR89" s="99"/>
      <c r="BS89" s="99"/>
      <c r="BT89" s="99"/>
      <c r="BU89" s="99"/>
      <c r="BV89" s="99"/>
      <c r="BW89" s="99"/>
      <c r="BX89" s="99"/>
      <c r="BY89" s="99"/>
      <c r="BZ89" s="99"/>
      <c r="CA89" s="99"/>
      <c r="CB89" s="99"/>
      <c r="CC89" s="99"/>
      <c r="CD89" s="99"/>
      <c r="CE89" s="99"/>
      <c r="CF89" s="99"/>
      <c r="CG89" s="99"/>
      <c r="CH89" s="99"/>
      <c r="CI89" s="99"/>
      <c r="CJ89" s="99"/>
      <c r="CK89" s="99"/>
      <c r="CL89" s="99"/>
      <c r="CM89" s="99"/>
      <c r="CN89" s="99"/>
      <c r="CO89" s="99"/>
      <c r="CP89" s="99"/>
      <c r="CQ89" s="99"/>
      <c r="CR89" s="99"/>
      <c r="CS89" s="99"/>
      <c r="CT89" s="99"/>
      <c r="CU89" s="99"/>
      <c r="CV89" s="99"/>
      <c r="CW89" s="99"/>
      <c r="CX89" s="99"/>
      <c r="CY89" s="99"/>
      <c r="CZ89" s="99"/>
      <c r="DA89" s="99"/>
      <c r="DB89" s="99"/>
      <c r="DC89" s="99"/>
      <c r="DD89" s="99"/>
      <c r="DE89" s="99"/>
      <c r="DF89" s="99"/>
      <c r="DG89" s="99"/>
      <c r="DH89" s="99"/>
      <c r="DI89" s="99"/>
      <c r="DJ89" s="99"/>
      <c r="DK89" s="99"/>
      <c r="DL89" s="99"/>
      <c r="DM89" s="99"/>
      <c r="DN89" s="99"/>
      <c r="DO89" s="99"/>
      <c r="DP89" s="99"/>
      <c r="DQ89" s="99"/>
      <c r="DR89" s="99"/>
      <c r="DS89" s="99"/>
      <c r="DT89" s="99"/>
      <c r="DU89" s="99"/>
      <c r="DV89" s="99"/>
      <c r="DW89" s="99"/>
      <c r="DX89" s="99"/>
      <c r="DY89" s="99"/>
      <c r="DZ89" s="99"/>
      <c r="EA89" s="99"/>
      <c r="EB89" s="99"/>
      <c r="EC89" s="99"/>
      <c r="ED89" s="99"/>
      <c r="EE89" s="99"/>
      <c r="EF89" s="99"/>
      <c r="EG89" s="99"/>
      <c r="EH89" s="99"/>
      <c r="EI89" s="99"/>
      <c r="EJ89" s="99"/>
      <c r="EK89" s="99"/>
      <c r="EL89" s="99"/>
      <c r="EM89" s="99"/>
      <c r="EN89" s="99"/>
      <c r="EO89" s="99"/>
      <c r="EP89" s="99"/>
      <c r="EQ89" s="99"/>
      <c r="ER89" s="99"/>
      <c r="ES89" s="99"/>
      <c r="ET89" s="99"/>
      <c r="EU89" s="99"/>
      <c r="EV89" s="99"/>
      <c r="EW89" s="99"/>
      <c r="EX89" s="99"/>
      <c r="EY89" s="99"/>
      <c r="EZ89" s="99"/>
      <c r="FA89" s="99"/>
      <c r="FB89" s="99"/>
      <c r="FC89" s="99"/>
      <c r="FD89" s="99"/>
      <c r="FE89" s="99"/>
      <c r="FF89" s="99"/>
      <c r="FG89" s="99"/>
      <c r="FH89" s="99"/>
      <c r="FI89" s="99"/>
      <c r="FJ89" s="99"/>
      <c r="FK89" s="99"/>
      <c r="FL89" s="99"/>
      <c r="FM89" s="99"/>
      <c r="FN89" s="99"/>
      <c r="FO89" s="99"/>
      <c r="FP89" s="99"/>
      <c r="FQ89" s="99"/>
      <c r="FR89" s="99"/>
      <c r="FS89" s="99"/>
      <c r="FT89" s="99"/>
      <c r="FU89" s="99"/>
      <c r="FV89" s="99"/>
      <c r="FW89" s="99"/>
      <c r="FX89" s="99"/>
      <c r="FY89" s="99"/>
      <c r="FZ89" s="99"/>
      <c r="GA89" s="99"/>
      <c r="GB89" s="99"/>
      <c r="GC89" s="99"/>
      <c r="GD89" s="99"/>
      <c r="GE89" s="99"/>
      <c r="GF89" s="99"/>
      <c r="GG89" s="99"/>
      <c r="GH89" s="99"/>
      <c r="GI89" s="99"/>
      <c r="GJ89" s="99"/>
      <c r="GK89" s="99"/>
      <c r="GL89" s="99"/>
      <c r="GM89" s="99"/>
      <c r="GN89" s="99"/>
      <c r="GO89" s="99"/>
      <c r="GP89" s="99"/>
      <c r="GQ89" s="99"/>
      <c r="GR89" s="99"/>
      <c r="GS89" s="99"/>
      <c r="GT89" s="99"/>
      <c r="GU89" s="99"/>
      <c r="GV89" s="99"/>
      <c r="GW89" s="99"/>
      <c r="GX89" s="99"/>
      <c r="GY89" s="99"/>
      <c r="GZ89" s="99"/>
      <c r="HA89" s="99"/>
      <c r="HB89" s="99"/>
      <c r="HC89" s="99"/>
      <c r="HD89" s="99"/>
      <c r="HE89" s="99"/>
      <c r="HF89" s="99"/>
      <c r="HG89" s="99"/>
      <c r="HH89" s="99"/>
      <c r="HI89" s="99"/>
      <c r="HJ89" s="99"/>
      <c r="HK89" s="99"/>
      <c r="HL89" s="99"/>
      <c r="HM89" s="99"/>
      <c r="HN89" s="99"/>
      <c r="HO89" s="99"/>
      <c r="HP89" s="99"/>
      <c r="HQ89" s="99"/>
      <c r="HR89" s="99"/>
      <c r="HS89" s="99"/>
      <c r="HT89" s="99"/>
      <c r="HU89" s="99"/>
      <c r="HV89" s="99"/>
      <c r="HW89" s="99"/>
      <c r="HX89" s="99"/>
      <c r="HY89" s="99"/>
      <c r="HZ89" s="99"/>
      <c r="IA89" s="99"/>
      <c r="IB89" s="99"/>
      <c r="IC89" s="99"/>
      <c r="ID89" s="99"/>
      <c r="IE89" s="99"/>
      <c r="IF89" s="99"/>
      <c r="IG89" s="99"/>
      <c r="IH89" s="99"/>
      <c r="II89" s="99"/>
      <c r="IJ89" s="99"/>
      <c r="IT89" s="112" t="s">
        <v>235</v>
      </c>
    </row>
    <row r="90" spans="1:254" ht="31.5">
      <c r="B90" s="207" t="s">
        <v>157</v>
      </c>
      <c r="C90" s="208" t="s">
        <v>310</v>
      </c>
      <c r="D90" s="136" t="s">
        <v>141</v>
      </c>
      <c r="E90" s="159">
        <v>0.214</v>
      </c>
      <c r="F90" s="160"/>
      <c r="G90" s="159" t="s">
        <v>264</v>
      </c>
      <c r="H90" s="159">
        <v>0.214</v>
      </c>
      <c r="I90" s="159" t="s">
        <v>264</v>
      </c>
      <c r="J90" s="159">
        <v>0.214</v>
      </c>
      <c r="K90" s="159"/>
      <c r="L90" s="159"/>
      <c r="M90" s="159"/>
      <c r="N90" s="159"/>
      <c r="O90" s="144">
        <f>213.64/1000</f>
        <v>0.21364</v>
      </c>
      <c r="P90" s="144"/>
      <c r="Q90" s="144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  <c r="BO90" s="99"/>
      <c r="BP90" s="99"/>
      <c r="BQ90" s="99"/>
      <c r="BR90" s="99"/>
      <c r="BS90" s="99"/>
      <c r="BT90" s="99"/>
      <c r="BU90" s="99"/>
      <c r="BV90" s="99"/>
      <c r="BW90" s="99"/>
      <c r="BX90" s="99"/>
      <c r="BY90" s="99"/>
      <c r="BZ90" s="99"/>
      <c r="CA90" s="99"/>
      <c r="CB90" s="99"/>
      <c r="CC90" s="99"/>
      <c r="CD90" s="99"/>
      <c r="CE90" s="99"/>
      <c r="CF90" s="99"/>
      <c r="CG90" s="99"/>
      <c r="CH90" s="99"/>
      <c r="CI90" s="99"/>
      <c r="CJ90" s="99"/>
      <c r="CK90" s="99"/>
      <c r="CL90" s="99"/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C90" s="99"/>
      <c r="DD90" s="99"/>
      <c r="DE90" s="99"/>
      <c r="DF90" s="99"/>
      <c r="DG90" s="99"/>
      <c r="DH90" s="99"/>
      <c r="DI90" s="99"/>
      <c r="DJ90" s="99"/>
      <c r="DK90" s="99"/>
      <c r="DL90" s="99"/>
      <c r="DM90" s="99"/>
      <c r="DN90" s="99"/>
      <c r="DO90" s="99"/>
      <c r="DP90" s="99"/>
      <c r="DQ90" s="99"/>
      <c r="DR90" s="99"/>
      <c r="DS90" s="99"/>
      <c r="DT90" s="99"/>
      <c r="DU90" s="99"/>
      <c r="DV90" s="99"/>
      <c r="DW90" s="99"/>
      <c r="DX90" s="99"/>
      <c r="DY90" s="99"/>
      <c r="DZ90" s="99"/>
      <c r="EA90" s="99"/>
      <c r="EB90" s="99"/>
      <c r="EC90" s="99"/>
      <c r="ED90" s="99"/>
      <c r="EE90" s="99"/>
      <c r="EF90" s="99"/>
      <c r="EG90" s="99"/>
      <c r="EH90" s="99"/>
      <c r="EI90" s="99"/>
      <c r="EJ90" s="99"/>
      <c r="EK90" s="99"/>
      <c r="EL90" s="99"/>
      <c r="EM90" s="99"/>
      <c r="EN90" s="99"/>
      <c r="EO90" s="99"/>
      <c r="EP90" s="99"/>
      <c r="EQ90" s="99"/>
      <c r="ER90" s="99"/>
      <c r="ES90" s="99"/>
      <c r="ET90" s="99"/>
      <c r="EU90" s="99"/>
      <c r="EV90" s="99"/>
      <c r="EW90" s="99"/>
      <c r="EX90" s="99"/>
      <c r="EY90" s="99"/>
      <c r="EZ90" s="99"/>
      <c r="FA90" s="99"/>
      <c r="FB90" s="99"/>
      <c r="FC90" s="99"/>
      <c r="FD90" s="99"/>
      <c r="FE90" s="99"/>
      <c r="FF90" s="99"/>
      <c r="FG90" s="99"/>
      <c r="FH90" s="99"/>
      <c r="FI90" s="99"/>
      <c r="FJ90" s="99"/>
      <c r="FK90" s="99"/>
      <c r="FL90" s="99"/>
      <c r="FM90" s="99"/>
      <c r="FN90" s="99"/>
      <c r="FO90" s="99"/>
      <c r="FP90" s="99"/>
      <c r="FQ90" s="99"/>
      <c r="FR90" s="99"/>
      <c r="FS90" s="99"/>
      <c r="FT90" s="99"/>
      <c r="FU90" s="99"/>
      <c r="FV90" s="99"/>
      <c r="FW90" s="99"/>
      <c r="FX90" s="99"/>
      <c r="FY90" s="99"/>
      <c r="FZ90" s="99"/>
      <c r="GA90" s="99"/>
      <c r="GB90" s="99"/>
      <c r="GC90" s="99"/>
      <c r="GD90" s="99"/>
      <c r="GE90" s="99"/>
      <c r="GF90" s="99"/>
      <c r="GG90" s="99"/>
      <c r="GH90" s="99"/>
      <c r="GI90" s="99"/>
      <c r="GJ90" s="99"/>
      <c r="GK90" s="99"/>
      <c r="GL90" s="99"/>
      <c r="GM90" s="99"/>
      <c r="GN90" s="99"/>
      <c r="GO90" s="99"/>
      <c r="GP90" s="99"/>
      <c r="GQ90" s="99"/>
      <c r="GR90" s="99"/>
      <c r="GS90" s="99"/>
      <c r="GT90" s="99"/>
      <c r="GU90" s="99"/>
      <c r="GV90" s="99"/>
      <c r="GW90" s="99"/>
      <c r="GX90" s="99"/>
      <c r="GY90" s="99"/>
      <c r="GZ90" s="99"/>
      <c r="HA90" s="99"/>
      <c r="HB90" s="99"/>
      <c r="HC90" s="99"/>
      <c r="HD90" s="99"/>
      <c r="HE90" s="99"/>
      <c r="HF90" s="99"/>
      <c r="HG90" s="99"/>
      <c r="HH90" s="99"/>
      <c r="HI90" s="99"/>
      <c r="HJ90" s="99"/>
      <c r="HK90" s="99"/>
      <c r="HL90" s="99"/>
      <c r="HM90" s="99"/>
      <c r="HN90" s="99"/>
      <c r="HO90" s="99"/>
      <c r="HP90" s="99"/>
      <c r="HQ90" s="99"/>
      <c r="HR90" s="99"/>
      <c r="HS90" s="99"/>
      <c r="HT90" s="99"/>
      <c r="HU90" s="99"/>
      <c r="HV90" s="99"/>
      <c r="HW90" s="99"/>
      <c r="HX90" s="99"/>
      <c r="HY90" s="99"/>
      <c r="HZ90" s="99"/>
      <c r="IA90" s="99"/>
      <c r="IB90" s="99"/>
      <c r="IC90" s="99"/>
      <c r="ID90" s="99"/>
      <c r="IE90" s="99"/>
      <c r="IF90" s="99"/>
      <c r="IG90" s="99"/>
      <c r="IH90" s="99"/>
      <c r="II90" s="99"/>
      <c r="IJ90" s="99"/>
      <c r="IT90" s="112"/>
    </row>
    <row r="91" spans="1:254" ht="47.25">
      <c r="B91" s="207" t="s">
        <v>158</v>
      </c>
      <c r="C91" s="292" t="s">
        <v>373</v>
      </c>
      <c r="D91" s="155" t="s">
        <v>141</v>
      </c>
      <c r="E91" s="259">
        <v>2E-3</v>
      </c>
      <c r="F91" s="161"/>
      <c r="G91" s="138" t="s">
        <v>264</v>
      </c>
      <c r="H91" s="259">
        <v>2E-3</v>
      </c>
      <c r="I91" s="138" t="s">
        <v>264</v>
      </c>
      <c r="J91" s="259">
        <v>2E-3</v>
      </c>
      <c r="K91" s="138"/>
      <c r="L91" s="259"/>
      <c r="M91" s="138"/>
      <c r="N91" s="259"/>
      <c r="O91" s="144">
        <f>18.96/1000</f>
        <v>1.8960000000000001E-2</v>
      </c>
      <c r="P91" s="144">
        <f>2.16/1000</f>
        <v>2.16E-3</v>
      </c>
      <c r="Q91" s="144">
        <f>P91-L91</f>
        <v>2.16E-3</v>
      </c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  <c r="BO91" s="99"/>
      <c r="BP91" s="99"/>
      <c r="BQ91" s="99"/>
      <c r="BR91" s="99"/>
      <c r="BS91" s="99"/>
      <c r="BT91" s="99"/>
      <c r="BU91" s="99"/>
      <c r="BV91" s="99"/>
      <c r="BW91" s="99"/>
      <c r="BX91" s="99"/>
      <c r="BY91" s="99"/>
      <c r="BZ91" s="99"/>
      <c r="CA91" s="99"/>
      <c r="CB91" s="99"/>
      <c r="CC91" s="99"/>
      <c r="CD91" s="99"/>
      <c r="CE91" s="99"/>
      <c r="CF91" s="99"/>
      <c r="CG91" s="99"/>
      <c r="CH91" s="99"/>
      <c r="CI91" s="99"/>
      <c r="CJ91" s="99"/>
      <c r="CK91" s="99"/>
      <c r="CL91" s="99"/>
      <c r="CM91" s="99"/>
      <c r="CN91" s="99"/>
      <c r="CO91" s="99"/>
      <c r="CP91" s="99"/>
      <c r="CQ91" s="99"/>
      <c r="CR91" s="99"/>
      <c r="CS91" s="99"/>
      <c r="CT91" s="99"/>
      <c r="CU91" s="99"/>
      <c r="CV91" s="99"/>
      <c r="CW91" s="99"/>
      <c r="CX91" s="99"/>
      <c r="CY91" s="99"/>
      <c r="CZ91" s="99"/>
      <c r="DA91" s="99"/>
      <c r="DB91" s="99"/>
      <c r="DC91" s="99"/>
      <c r="DD91" s="99"/>
      <c r="DE91" s="99"/>
      <c r="DF91" s="99"/>
      <c r="DG91" s="99"/>
      <c r="DH91" s="99"/>
      <c r="DI91" s="99"/>
      <c r="DJ91" s="99"/>
      <c r="DK91" s="99"/>
      <c r="DL91" s="99"/>
      <c r="DM91" s="99"/>
      <c r="DN91" s="99"/>
      <c r="DO91" s="99"/>
      <c r="DP91" s="99"/>
      <c r="DQ91" s="99"/>
      <c r="DR91" s="99"/>
      <c r="DS91" s="99"/>
      <c r="DT91" s="99"/>
      <c r="DU91" s="99"/>
      <c r="DV91" s="99"/>
      <c r="DW91" s="99"/>
      <c r="DX91" s="99"/>
      <c r="DY91" s="99"/>
      <c r="DZ91" s="99"/>
      <c r="EA91" s="99"/>
      <c r="EB91" s="99"/>
      <c r="EC91" s="99"/>
      <c r="ED91" s="99"/>
      <c r="EE91" s="99"/>
      <c r="EF91" s="99"/>
      <c r="EG91" s="99"/>
      <c r="EH91" s="99"/>
      <c r="EI91" s="99"/>
      <c r="EJ91" s="99"/>
      <c r="EK91" s="99"/>
      <c r="EL91" s="99"/>
      <c r="EM91" s="99"/>
      <c r="EN91" s="99"/>
      <c r="EO91" s="99"/>
      <c r="EP91" s="99"/>
      <c r="EQ91" s="99"/>
      <c r="ER91" s="99"/>
      <c r="ES91" s="99"/>
      <c r="ET91" s="99"/>
      <c r="EU91" s="99"/>
      <c r="EV91" s="99"/>
      <c r="EW91" s="99"/>
      <c r="EX91" s="99"/>
      <c r="EY91" s="99"/>
      <c r="EZ91" s="99"/>
      <c r="FA91" s="99"/>
      <c r="FB91" s="99"/>
      <c r="FC91" s="99"/>
      <c r="FD91" s="99"/>
      <c r="FE91" s="99"/>
      <c r="FF91" s="99"/>
      <c r="FG91" s="99"/>
      <c r="FH91" s="99"/>
      <c r="FI91" s="99"/>
      <c r="FJ91" s="99"/>
      <c r="FK91" s="99"/>
      <c r="FL91" s="99"/>
      <c r="FM91" s="99"/>
      <c r="FN91" s="99"/>
      <c r="FO91" s="99"/>
      <c r="FP91" s="99"/>
      <c r="FQ91" s="99"/>
      <c r="FR91" s="99"/>
      <c r="FS91" s="99"/>
      <c r="FT91" s="99"/>
      <c r="FU91" s="99"/>
      <c r="FV91" s="99"/>
      <c r="FW91" s="99"/>
      <c r="FX91" s="99"/>
      <c r="FY91" s="99"/>
      <c r="FZ91" s="99"/>
      <c r="GA91" s="99"/>
      <c r="GB91" s="99"/>
      <c r="GC91" s="99"/>
      <c r="GD91" s="99"/>
      <c r="GE91" s="99"/>
      <c r="GF91" s="99"/>
      <c r="GG91" s="99"/>
      <c r="GH91" s="99"/>
      <c r="GI91" s="99"/>
      <c r="GJ91" s="99"/>
      <c r="GK91" s="99"/>
      <c r="GL91" s="99"/>
      <c r="GM91" s="99"/>
      <c r="GN91" s="99"/>
      <c r="GO91" s="99"/>
      <c r="GP91" s="99"/>
      <c r="GQ91" s="99"/>
      <c r="GR91" s="99"/>
      <c r="GS91" s="99"/>
      <c r="GT91" s="99"/>
      <c r="GU91" s="99"/>
      <c r="GV91" s="99"/>
      <c r="GW91" s="99"/>
      <c r="GX91" s="99"/>
      <c r="GY91" s="99"/>
      <c r="GZ91" s="99"/>
      <c r="HA91" s="99"/>
      <c r="HB91" s="99"/>
      <c r="HC91" s="99"/>
      <c r="HD91" s="99"/>
      <c r="HE91" s="99"/>
      <c r="HF91" s="99"/>
      <c r="HG91" s="99"/>
      <c r="HH91" s="99"/>
      <c r="HI91" s="99"/>
      <c r="HJ91" s="99"/>
      <c r="HK91" s="99"/>
      <c r="HL91" s="99"/>
      <c r="HM91" s="99"/>
      <c r="HN91" s="99"/>
      <c r="HO91" s="99"/>
      <c r="HP91" s="99"/>
      <c r="HQ91" s="99"/>
      <c r="HR91" s="99"/>
      <c r="HS91" s="99"/>
      <c r="HT91" s="99"/>
      <c r="HU91" s="99"/>
      <c r="HV91" s="99"/>
      <c r="HW91" s="99"/>
      <c r="HX91" s="99"/>
      <c r="HY91" s="99"/>
      <c r="HZ91" s="99"/>
      <c r="IA91" s="99"/>
      <c r="IB91" s="99"/>
      <c r="IC91" s="99"/>
      <c r="ID91" s="99"/>
      <c r="IE91" s="99"/>
      <c r="IF91" s="99"/>
      <c r="IG91" s="99"/>
      <c r="IH91" s="99"/>
      <c r="II91" s="99"/>
      <c r="IJ91" s="99"/>
      <c r="IT91" s="112"/>
    </row>
    <row r="92" spans="1:254">
      <c r="B92" s="207" t="s">
        <v>169</v>
      </c>
      <c r="C92" s="209" t="s">
        <v>237</v>
      </c>
      <c r="D92" s="137" t="s">
        <v>165</v>
      </c>
      <c r="E92" s="138" t="s">
        <v>248</v>
      </c>
      <c r="F92" s="158"/>
      <c r="G92" s="252" t="s">
        <v>557</v>
      </c>
      <c r="H92" s="138" t="s">
        <v>248</v>
      </c>
      <c r="I92" s="252" t="s">
        <v>557</v>
      </c>
      <c r="J92" s="138" t="s">
        <v>248</v>
      </c>
      <c r="K92" s="252"/>
      <c r="L92" s="138"/>
      <c r="M92" s="252"/>
      <c r="N92" s="138"/>
      <c r="O92" s="144">
        <f>19.27*8/1000</f>
        <v>0.15415999999999999</v>
      </c>
      <c r="P92" s="144"/>
      <c r="Q92" s="144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  <c r="BO92" s="99"/>
      <c r="BP92" s="99"/>
      <c r="BQ92" s="99"/>
      <c r="BR92" s="99"/>
      <c r="BS92" s="99"/>
      <c r="BT92" s="99"/>
      <c r="BU92" s="99"/>
      <c r="BV92" s="99"/>
      <c r="BW92" s="99"/>
      <c r="BX92" s="99"/>
      <c r="BY92" s="99"/>
      <c r="BZ92" s="99"/>
      <c r="CA92" s="99"/>
      <c r="CB92" s="99"/>
      <c r="CC92" s="99"/>
      <c r="CD92" s="99"/>
      <c r="CE92" s="99"/>
      <c r="CF92" s="99"/>
      <c r="CG92" s="99"/>
      <c r="CH92" s="99"/>
      <c r="CI92" s="99"/>
      <c r="CJ92" s="99"/>
      <c r="CK92" s="99"/>
      <c r="CL92" s="99"/>
      <c r="CM92" s="99"/>
      <c r="CN92" s="99"/>
      <c r="CO92" s="99"/>
      <c r="CP92" s="99"/>
      <c r="CQ92" s="99"/>
      <c r="CR92" s="99"/>
      <c r="CS92" s="99"/>
      <c r="CT92" s="99"/>
      <c r="CU92" s="99"/>
      <c r="CV92" s="99"/>
      <c r="CW92" s="99"/>
      <c r="CX92" s="99"/>
      <c r="CY92" s="99"/>
      <c r="CZ92" s="99"/>
      <c r="DA92" s="99"/>
      <c r="DB92" s="99"/>
      <c r="DC92" s="99"/>
      <c r="DD92" s="99"/>
      <c r="DE92" s="99"/>
      <c r="DF92" s="99"/>
      <c r="DG92" s="99"/>
      <c r="DH92" s="99"/>
      <c r="DI92" s="99"/>
      <c r="DJ92" s="99"/>
      <c r="DK92" s="99"/>
      <c r="DL92" s="99"/>
      <c r="DM92" s="99"/>
      <c r="DN92" s="99"/>
      <c r="DO92" s="99"/>
      <c r="DP92" s="99"/>
      <c r="DQ92" s="99"/>
      <c r="DR92" s="99"/>
      <c r="DS92" s="99"/>
      <c r="DT92" s="99"/>
      <c r="DU92" s="99"/>
      <c r="DV92" s="99"/>
      <c r="DW92" s="99"/>
      <c r="DX92" s="99"/>
      <c r="DY92" s="99"/>
      <c r="DZ92" s="99"/>
      <c r="EA92" s="99"/>
      <c r="EB92" s="99"/>
      <c r="EC92" s="99"/>
      <c r="ED92" s="99"/>
      <c r="EE92" s="99"/>
      <c r="EF92" s="99"/>
      <c r="EG92" s="99"/>
      <c r="EH92" s="99"/>
      <c r="EI92" s="99"/>
      <c r="EJ92" s="99"/>
      <c r="EK92" s="99"/>
      <c r="EL92" s="99"/>
      <c r="EM92" s="99"/>
      <c r="EN92" s="99"/>
      <c r="EO92" s="99"/>
      <c r="EP92" s="99"/>
      <c r="EQ92" s="99"/>
      <c r="ER92" s="99"/>
      <c r="ES92" s="99"/>
      <c r="ET92" s="99"/>
      <c r="EU92" s="99"/>
      <c r="EV92" s="99"/>
      <c r="EW92" s="99"/>
      <c r="EX92" s="99"/>
      <c r="EY92" s="99"/>
      <c r="EZ92" s="99"/>
      <c r="FA92" s="99"/>
      <c r="FB92" s="99"/>
      <c r="FC92" s="99"/>
      <c r="FD92" s="99"/>
      <c r="FE92" s="99"/>
      <c r="FF92" s="99"/>
      <c r="FG92" s="99"/>
      <c r="FH92" s="99"/>
      <c r="FI92" s="99"/>
      <c r="FJ92" s="99"/>
      <c r="FK92" s="99"/>
      <c r="FL92" s="99"/>
      <c r="FM92" s="99"/>
      <c r="FN92" s="99"/>
      <c r="FO92" s="99"/>
      <c r="FP92" s="99"/>
      <c r="FQ92" s="99"/>
      <c r="FR92" s="99"/>
      <c r="FS92" s="99"/>
      <c r="FT92" s="99"/>
      <c r="FU92" s="99"/>
      <c r="FV92" s="99"/>
      <c r="FW92" s="99"/>
      <c r="FX92" s="99"/>
      <c r="FY92" s="99"/>
      <c r="FZ92" s="99"/>
      <c r="GA92" s="99"/>
      <c r="GB92" s="99"/>
      <c r="GC92" s="99"/>
      <c r="GD92" s="99"/>
      <c r="GE92" s="99"/>
      <c r="GF92" s="99"/>
      <c r="GG92" s="99"/>
      <c r="GH92" s="99"/>
      <c r="GI92" s="99"/>
      <c r="GJ92" s="99"/>
      <c r="GK92" s="99"/>
      <c r="GL92" s="99"/>
      <c r="GM92" s="99"/>
      <c r="GN92" s="99"/>
      <c r="GO92" s="99"/>
      <c r="GP92" s="99"/>
      <c r="GQ92" s="99"/>
      <c r="GR92" s="99"/>
      <c r="GS92" s="99"/>
      <c r="GT92" s="99"/>
      <c r="GU92" s="99"/>
      <c r="GV92" s="99"/>
      <c r="GW92" s="99"/>
      <c r="GX92" s="99"/>
      <c r="GY92" s="99"/>
      <c r="GZ92" s="99"/>
      <c r="HA92" s="99"/>
      <c r="HB92" s="99"/>
      <c r="HC92" s="99"/>
      <c r="HD92" s="99"/>
      <c r="HE92" s="99"/>
      <c r="HF92" s="99"/>
      <c r="HG92" s="99"/>
      <c r="HH92" s="99"/>
      <c r="HI92" s="99"/>
      <c r="HJ92" s="99"/>
      <c r="HK92" s="99"/>
      <c r="HL92" s="99"/>
      <c r="HM92" s="99"/>
      <c r="HN92" s="99"/>
      <c r="HO92" s="99"/>
      <c r="HP92" s="99"/>
      <c r="HQ92" s="99"/>
      <c r="HR92" s="99"/>
      <c r="HS92" s="99"/>
      <c r="HT92" s="99"/>
      <c r="HU92" s="99"/>
      <c r="HV92" s="99"/>
      <c r="HW92" s="99"/>
      <c r="HX92" s="99"/>
      <c r="HY92" s="99"/>
      <c r="HZ92" s="99"/>
      <c r="IA92" s="99"/>
      <c r="IB92" s="99"/>
      <c r="IC92" s="99"/>
      <c r="ID92" s="99"/>
      <c r="IE92" s="99"/>
      <c r="IF92" s="99"/>
      <c r="IG92" s="99"/>
      <c r="IH92" s="99"/>
      <c r="II92" s="99"/>
      <c r="IJ92" s="99"/>
      <c r="IT92" s="112"/>
    </row>
    <row r="93" spans="1:254" ht="34.5">
      <c r="B93" s="213" t="s">
        <v>184</v>
      </c>
      <c r="C93" s="210" t="s">
        <v>242</v>
      </c>
      <c r="D93" s="155" t="s">
        <v>560</v>
      </c>
      <c r="E93" s="211">
        <v>0.11</v>
      </c>
      <c r="F93" s="155"/>
      <c r="G93" s="211" t="s">
        <v>264</v>
      </c>
      <c r="H93" s="211">
        <v>0.11</v>
      </c>
      <c r="I93" s="211" t="s">
        <v>264</v>
      </c>
      <c r="J93" s="211">
        <v>0.11</v>
      </c>
      <c r="K93" s="211"/>
      <c r="L93" s="211"/>
      <c r="M93" s="211"/>
      <c r="N93" s="211"/>
      <c r="O93" s="144">
        <f>0.9*0.9</f>
        <v>0.81</v>
      </c>
      <c r="P93" s="144"/>
      <c r="Q93" s="144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  <c r="BO93" s="99"/>
      <c r="BP93" s="99"/>
      <c r="BQ93" s="99"/>
      <c r="BR93" s="99"/>
      <c r="BS93" s="99"/>
      <c r="BT93" s="99"/>
      <c r="BU93" s="99"/>
      <c r="BV93" s="99"/>
      <c r="BW93" s="99"/>
      <c r="BX93" s="99"/>
      <c r="BY93" s="99"/>
      <c r="BZ93" s="99"/>
      <c r="CA93" s="99"/>
      <c r="CB93" s="99"/>
      <c r="CC93" s="99"/>
      <c r="CD93" s="99"/>
      <c r="CE93" s="99"/>
      <c r="CF93" s="99"/>
      <c r="CG93" s="99"/>
      <c r="CH93" s="99"/>
      <c r="CI93" s="99"/>
      <c r="CJ93" s="99"/>
      <c r="CK93" s="99"/>
      <c r="CL93" s="99"/>
      <c r="CM93" s="99"/>
      <c r="CN93" s="99"/>
      <c r="CO93" s="99"/>
      <c r="CP93" s="99"/>
      <c r="CQ93" s="99"/>
      <c r="CR93" s="99"/>
      <c r="CS93" s="99"/>
      <c r="CT93" s="99"/>
      <c r="CU93" s="99"/>
      <c r="CV93" s="99"/>
      <c r="CW93" s="99"/>
      <c r="CX93" s="99"/>
      <c r="CY93" s="99"/>
      <c r="CZ93" s="99"/>
      <c r="DA93" s="99"/>
      <c r="DB93" s="99"/>
      <c r="DC93" s="99"/>
      <c r="DD93" s="99"/>
      <c r="DE93" s="99"/>
      <c r="DF93" s="99"/>
      <c r="DG93" s="99"/>
      <c r="DH93" s="99"/>
      <c r="DI93" s="99"/>
      <c r="DJ93" s="99"/>
      <c r="DK93" s="99"/>
      <c r="DL93" s="99"/>
      <c r="DM93" s="99"/>
      <c r="DN93" s="99"/>
      <c r="DO93" s="99"/>
      <c r="DP93" s="99"/>
      <c r="DQ93" s="99"/>
      <c r="DR93" s="99"/>
      <c r="DS93" s="99"/>
      <c r="DT93" s="99"/>
      <c r="DU93" s="99"/>
      <c r="DV93" s="99"/>
      <c r="DW93" s="99"/>
      <c r="DX93" s="99"/>
      <c r="DY93" s="99"/>
      <c r="DZ93" s="99"/>
      <c r="EA93" s="99"/>
      <c r="EB93" s="99"/>
      <c r="EC93" s="99"/>
      <c r="ED93" s="99"/>
      <c r="EE93" s="99"/>
      <c r="EF93" s="99"/>
      <c r="EG93" s="99"/>
      <c r="EH93" s="99"/>
      <c r="EI93" s="99"/>
      <c r="EJ93" s="99"/>
      <c r="EK93" s="99"/>
      <c r="EL93" s="99"/>
      <c r="EM93" s="99"/>
      <c r="EN93" s="99"/>
      <c r="EO93" s="99"/>
      <c r="EP93" s="99"/>
      <c r="EQ93" s="99"/>
      <c r="ER93" s="99"/>
      <c r="ES93" s="99"/>
      <c r="ET93" s="99"/>
      <c r="EU93" s="99"/>
      <c r="EV93" s="99"/>
      <c r="EW93" s="99"/>
      <c r="EX93" s="99"/>
      <c r="EY93" s="99"/>
      <c r="EZ93" s="99"/>
      <c r="FA93" s="99"/>
      <c r="FB93" s="99"/>
      <c r="FC93" s="99"/>
      <c r="FD93" s="99"/>
      <c r="FE93" s="99"/>
      <c r="FF93" s="99"/>
      <c r="FG93" s="99"/>
      <c r="FH93" s="99"/>
      <c r="FI93" s="99"/>
      <c r="FJ93" s="99"/>
      <c r="FK93" s="99"/>
      <c r="FL93" s="99"/>
      <c r="FM93" s="99"/>
      <c r="FN93" s="99"/>
      <c r="FO93" s="99"/>
      <c r="FP93" s="99"/>
      <c r="FQ93" s="99"/>
      <c r="FR93" s="99"/>
      <c r="FS93" s="99"/>
      <c r="FT93" s="99"/>
      <c r="FU93" s="99"/>
      <c r="FV93" s="99"/>
      <c r="FW93" s="99"/>
      <c r="FX93" s="99"/>
      <c r="FY93" s="99"/>
      <c r="FZ93" s="99"/>
      <c r="GA93" s="99"/>
      <c r="GB93" s="99"/>
      <c r="GC93" s="99"/>
      <c r="GD93" s="99"/>
      <c r="GE93" s="99"/>
      <c r="GF93" s="99"/>
      <c r="GG93" s="99"/>
      <c r="GH93" s="99"/>
      <c r="GI93" s="99"/>
      <c r="GJ93" s="99"/>
      <c r="GK93" s="99"/>
      <c r="GL93" s="99"/>
      <c r="GM93" s="99"/>
      <c r="GN93" s="99"/>
      <c r="GO93" s="99"/>
      <c r="GP93" s="99"/>
      <c r="GQ93" s="99"/>
      <c r="GR93" s="99"/>
      <c r="GS93" s="99"/>
      <c r="GT93" s="99"/>
      <c r="GU93" s="99"/>
      <c r="GV93" s="99"/>
      <c r="GW93" s="99"/>
      <c r="GX93" s="99"/>
      <c r="GY93" s="99"/>
      <c r="GZ93" s="99"/>
      <c r="HA93" s="99"/>
      <c r="HB93" s="99"/>
      <c r="HC93" s="99"/>
      <c r="HD93" s="99"/>
      <c r="HE93" s="99"/>
      <c r="HF93" s="99"/>
      <c r="HG93" s="99"/>
      <c r="HH93" s="99"/>
      <c r="HI93" s="99"/>
      <c r="HJ93" s="99"/>
      <c r="HK93" s="99"/>
      <c r="HL93" s="99"/>
      <c r="HM93" s="99"/>
      <c r="HN93" s="99"/>
      <c r="HO93" s="99"/>
      <c r="HP93" s="99"/>
      <c r="HQ93" s="99"/>
      <c r="HR93" s="99"/>
      <c r="HS93" s="99"/>
      <c r="HT93" s="99"/>
      <c r="HU93" s="99"/>
      <c r="HV93" s="99"/>
      <c r="HW93" s="99"/>
      <c r="HX93" s="99"/>
      <c r="HY93" s="99"/>
      <c r="HZ93" s="99"/>
      <c r="IA93" s="99"/>
      <c r="IB93" s="99"/>
      <c r="IC93" s="99"/>
      <c r="ID93" s="99"/>
      <c r="IE93" s="99"/>
      <c r="IF93" s="99"/>
      <c r="IG93" s="99"/>
      <c r="IH93" s="99"/>
      <c r="II93" s="99"/>
      <c r="IJ93" s="99"/>
      <c r="IT93" s="112"/>
    </row>
    <row r="94" spans="1:254" ht="47.25">
      <c r="B94" s="213" t="s">
        <v>185</v>
      </c>
      <c r="C94" s="214" t="s">
        <v>236</v>
      </c>
      <c r="D94" s="188" t="s">
        <v>563</v>
      </c>
      <c r="E94" s="215">
        <v>9.84</v>
      </c>
      <c r="F94" s="163"/>
      <c r="G94" s="215" t="s">
        <v>264</v>
      </c>
      <c r="H94" s="215">
        <v>9.84</v>
      </c>
      <c r="I94" s="215" t="s">
        <v>264</v>
      </c>
      <c r="J94" s="215">
        <v>9.84</v>
      </c>
      <c r="K94" s="215"/>
      <c r="L94" s="215"/>
      <c r="M94" s="215"/>
      <c r="N94" s="215"/>
      <c r="O94" s="144">
        <f>1.2*(1.5*2)+1.5*2.4+1.2*2.4*2</f>
        <v>12.959999999999999</v>
      </c>
      <c r="P94" s="144">
        <f>2.5*1.2*2+1.6*1.2*2</f>
        <v>9.84</v>
      </c>
      <c r="Q94" s="144">
        <f>P94-O94</f>
        <v>-3.1199999999999992</v>
      </c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  <c r="BO94" s="99"/>
      <c r="BP94" s="99"/>
      <c r="BQ94" s="99"/>
      <c r="BR94" s="99"/>
      <c r="BS94" s="99"/>
      <c r="BT94" s="99"/>
      <c r="BU94" s="99"/>
      <c r="BV94" s="99"/>
      <c r="BW94" s="99"/>
      <c r="BX94" s="99"/>
      <c r="BY94" s="99"/>
      <c r="BZ94" s="99"/>
      <c r="CA94" s="99"/>
      <c r="CB94" s="99"/>
      <c r="CC94" s="99"/>
      <c r="CD94" s="99"/>
      <c r="CE94" s="99"/>
      <c r="CF94" s="99"/>
      <c r="CG94" s="99"/>
      <c r="CH94" s="99"/>
      <c r="CI94" s="99"/>
      <c r="CJ94" s="99"/>
      <c r="CK94" s="99"/>
      <c r="CL94" s="99"/>
      <c r="CM94" s="99"/>
      <c r="CN94" s="99"/>
      <c r="CO94" s="99"/>
      <c r="CP94" s="99"/>
      <c r="CQ94" s="99"/>
      <c r="CR94" s="99"/>
      <c r="CS94" s="99"/>
      <c r="CT94" s="99"/>
      <c r="CU94" s="99"/>
      <c r="CV94" s="99"/>
      <c r="CW94" s="99"/>
      <c r="CX94" s="99"/>
      <c r="CY94" s="99"/>
      <c r="CZ94" s="99"/>
      <c r="DA94" s="99"/>
      <c r="DB94" s="99"/>
      <c r="DC94" s="99"/>
      <c r="DD94" s="99"/>
      <c r="DE94" s="99"/>
      <c r="DF94" s="99"/>
      <c r="DG94" s="99"/>
      <c r="DH94" s="99"/>
      <c r="DI94" s="99"/>
      <c r="DJ94" s="99"/>
      <c r="DK94" s="99"/>
      <c r="DL94" s="99"/>
      <c r="DM94" s="99"/>
      <c r="DN94" s="99"/>
      <c r="DO94" s="99"/>
      <c r="DP94" s="99"/>
      <c r="DQ94" s="99"/>
      <c r="DR94" s="99"/>
      <c r="DS94" s="99"/>
      <c r="DT94" s="99"/>
      <c r="DU94" s="99"/>
      <c r="DV94" s="99"/>
      <c r="DW94" s="99"/>
      <c r="DX94" s="99"/>
      <c r="DY94" s="99"/>
      <c r="DZ94" s="99"/>
      <c r="EA94" s="99"/>
      <c r="EB94" s="99"/>
      <c r="EC94" s="99"/>
      <c r="ED94" s="99"/>
      <c r="EE94" s="99"/>
      <c r="EF94" s="99"/>
      <c r="EG94" s="99"/>
      <c r="EH94" s="99"/>
      <c r="EI94" s="99"/>
      <c r="EJ94" s="99"/>
      <c r="EK94" s="99"/>
      <c r="EL94" s="99"/>
      <c r="EM94" s="99"/>
      <c r="EN94" s="99"/>
      <c r="EO94" s="99"/>
      <c r="EP94" s="99"/>
      <c r="EQ94" s="99"/>
      <c r="ER94" s="99"/>
      <c r="ES94" s="99"/>
      <c r="ET94" s="99"/>
      <c r="EU94" s="99"/>
      <c r="EV94" s="99"/>
      <c r="EW94" s="99"/>
      <c r="EX94" s="99"/>
      <c r="EY94" s="99"/>
      <c r="EZ94" s="99"/>
      <c r="FA94" s="99"/>
      <c r="FB94" s="99"/>
      <c r="FC94" s="99"/>
      <c r="FD94" s="99"/>
      <c r="FE94" s="99"/>
      <c r="FF94" s="99"/>
      <c r="FG94" s="99"/>
      <c r="FH94" s="99"/>
      <c r="FI94" s="99"/>
      <c r="FJ94" s="99"/>
      <c r="FK94" s="99"/>
      <c r="FL94" s="99"/>
      <c r="FM94" s="99"/>
      <c r="FN94" s="99"/>
      <c r="FO94" s="99"/>
      <c r="FP94" s="99"/>
      <c r="FQ94" s="99"/>
      <c r="FR94" s="99"/>
      <c r="FS94" s="99"/>
      <c r="FT94" s="99"/>
      <c r="FU94" s="99"/>
      <c r="FV94" s="99"/>
      <c r="FW94" s="99"/>
      <c r="FX94" s="99"/>
      <c r="FY94" s="99"/>
      <c r="FZ94" s="99"/>
      <c r="GA94" s="99"/>
      <c r="GB94" s="99"/>
      <c r="GC94" s="99"/>
      <c r="GD94" s="99"/>
      <c r="GE94" s="99"/>
      <c r="GF94" s="99"/>
      <c r="GG94" s="99"/>
      <c r="GH94" s="99"/>
      <c r="GI94" s="99"/>
      <c r="GJ94" s="99"/>
      <c r="GK94" s="99"/>
      <c r="GL94" s="99"/>
      <c r="GM94" s="99"/>
      <c r="GN94" s="99"/>
      <c r="GO94" s="99"/>
      <c r="GP94" s="99"/>
      <c r="GQ94" s="99"/>
      <c r="GR94" s="99"/>
      <c r="GS94" s="99"/>
      <c r="GT94" s="99"/>
      <c r="GU94" s="99"/>
      <c r="GV94" s="99"/>
      <c r="GW94" s="99"/>
      <c r="GX94" s="99"/>
      <c r="GY94" s="99"/>
      <c r="GZ94" s="99"/>
      <c r="HA94" s="99"/>
      <c r="HB94" s="99"/>
      <c r="HC94" s="99"/>
      <c r="HD94" s="99"/>
      <c r="HE94" s="99"/>
      <c r="HF94" s="99"/>
      <c r="HG94" s="99"/>
      <c r="HH94" s="99"/>
      <c r="HI94" s="99"/>
      <c r="HJ94" s="99"/>
      <c r="HK94" s="99"/>
      <c r="HL94" s="99"/>
      <c r="HM94" s="99"/>
      <c r="HN94" s="99"/>
      <c r="HO94" s="99"/>
      <c r="HP94" s="99"/>
      <c r="HQ94" s="99"/>
      <c r="HR94" s="99"/>
      <c r="HS94" s="99"/>
      <c r="HT94" s="99"/>
      <c r="HU94" s="99"/>
      <c r="HV94" s="99"/>
      <c r="HW94" s="99"/>
      <c r="HX94" s="99"/>
      <c r="HY94" s="99"/>
      <c r="HZ94" s="99"/>
      <c r="IA94" s="99"/>
      <c r="IB94" s="99"/>
      <c r="IC94" s="99"/>
      <c r="ID94" s="99"/>
      <c r="IE94" s="99"/>
      <c r="IF94" s="99"/>
      <c r="IG94" s="99"/>
      <c r="IH94" s="99"/>
      <c r="II94" s="99"/>
      <c r="IJ94" s="99"/>
    </row>
    <row r="95" spans="1:254" ht="16.5" thickBot="1">
      <c r="B95" s="207" t="s">
        <v>186</v>
      </c>
      <c r="C95" s="212" t="s">
        <v>307</v>
      </c>
      <c r="D95" s="137" t="s">
        <v>141</v>
      </c>
      <c r="E95" s="138">
        <v>0.02</v>
      </c>
      <c r="F95" s="137"/>
      <c r="G95" s="138" t="s">
        <v>264</v>
      </c>
      <c r="H95" s="138">
        <v>0.02</v>
      </c>
      <c r="I95" s="138" t="s">
        <v>264</v>
      </c>
      <c r="J95" s="138">
        <v>0.02</v>
      </c>
      <c r="K95" s="138"/>
      <c r="L95" s="138"/>
      <c r="M95" s="138"/>
      <c r="N95" s="138"/>
      <c r="O95" s="144">
        <f>(0.62*8+1.9*8)/1000</f>
        <v>2.0160000000000001E-2</v>
      </c>
      <c r="P95" s="144"/>
      <c r="Q95" s="144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  <c r="CD95" s="99"/>
      <c r="CE95" s="99"/>
      <c r="CF95" s="99"/>
      <c r="CG95" s="99"/>
      <c r="CH95" s="99"/>
      <c r="CI95" s="99"/>
      <c r="CJ95" s="99"/>
      <c r="CK95" s="99"/>
      <c r="CL95" s="99"/>
      <c r="CM95" s="99"/>
      <c r="CN95" s="99"/>
      <c r="CO95" s="99"/>
      <c r="CP95" s="99"/>
      <c r="CQ95" s="99"/>
      <c r="CR95" s="99"/>
      <c r="CS95" s="99"/>
      <c r="CT95" s="99"/>
      <c r="CU95" s="99"/>
      <c r="CV95" s="99"/>
      <c r="CW95" s="99"/>
      <c r="CX95" s="99"/>
      <c r="CY95" s="99"/>
      <c r="CZ95" s="99"/>
      <c r="DA95" s="99"/>
      <c r="DB95" s="99"/>
      <c r="DC95" s="99"/>
      <c r="DD95" s="99"/>
      <c r="DE95" s="99"/>
      <c r="DF95" s="99"/>
      <c r="DG95" s="99"/>
      <c r="DH95" s="99"/>
      <c r="DI95" s="99"/>
      <c r="DJ95" s="99"/>
      <c r="DK95" s="99"/>
      <c r="DL95" s="99"/>
      <c r="DM95" s="99"/>
      <c r="DN95" s="99"/>
      <c r="DO95" s="99"/>
      <c r="DP95" s="99"/>
      <c r="DQ95" s="99"/>
      <c r="DR95" s="99"/>
      <c r="DS95" s="99"/>
      <c r="DT95" s="99"/>
      <c r="DU95" s="99"/>
      <c r="DV95" s="99"/>
      <c r="DW95" s="99"/>
      <c r="DX95" s="99"/>
      <c r="DY95" s="99"/>
      <c r="DZ95" s="99"/>
      <c r="EA95" s="99"/>
      <c r="EB95" s="99"/>
      <c r="EC95" s="99"/>
      <c r="ED95" s="99"/>
      <c r="EE95" s="99"/>
      <c r="EF95" s="99"/>
      <c r="EG95" s="99"/>
      <c r="EH95" s="99"/>
      <c r="EI95" s="99"/>
      <c r="EJ95" s="99"/>
      <c r="EK95" s="99"/>
      <c r="EL95" s="99"/>
      <c r="EM95" s="99"/>
      <c r="EN95" s="99"/>
      <c r="EO95" s="99"/>
      <c r="EP95" s="99"/>
      <c r="EQ95" s="99"/>
      <c r="ER95" s="99"/>
      <c r="ES95" s="99"/>
      <c r="ET95" s="99"/>
      <c r="EU95" s="99"/>
      <c r="EV95" s="99"/>
      <c r="EW95" s="99"/>
      <c r="EX95" s="99"/>
      <c r="EY95" s="99"/>
      <c r="EZ95" s="99"/>
      <c r="FA95" s="99"/>
      <c r="FB95" s="99"/>
      <c r="FC95" s="99"/>
      <c r="FD95" s="99"/>
      <c r="FE95" s="99"/>
      <c r="FF95" s="99"/>
      <c r="FG95" s="99"/>
      <c r="FH95" s="99"/>
      <c r="FI95" s="99"/>
      <c r="FJ95" s="99"/>
      <c r="FK95" s="99"/>
      <c r="FL95" s="99"/>
      <c r="FM95" s="99"/>
      <c r="FN95" s="99"/>
      <c r="FO95" s="99"/>
      <c r="FP95" s="99"/>
      <c r="FQ95" s="99"/>
      <c r="FR95" s="99"/>
      <c r="FS95" s="99"/>
      <c r="FT95" s="99"/>
      <c r="FU95" s="99"/>
      <c r="FV95" s="99"/>
      <c r="FW95" s="99"/>
      <c r="FX95" s="99"/>
      <c r="FY95" s="99"/>
      <c r="FZ95" s="99"/>
      <c r="GA95" s="99"/>
      <c r="GB95" s="99"/>
      <c r="GC95" s="99"/>
      <c r="GD95" s="99"/>
      <c r="GE95" s="99"/>
      <c r="GF95" s="99"/>
      <c r="GG95" s="99"/>
      <c r="GH95" s="99"/>
      <c r="GI95" s="99"/>
      <c r="GJ95" s="99"/>
      <c r="GK95" s="99"/>
      <c r="GL95" s="99"/>
      <c r="GM95" s="99"/>
      <c r="GN95" s="99"/>
      <c r="GO95" s="99"/>
      <c r="GP95" s="99"/>
      <c r="GQ95" s="99"/>
      <c r="GR95" s="99"/>
      <c r="GS95" s="99"/>
      <c r="GT95" s="99"/>
      <c r="GU95" s="99"/>
      <c r="GV95" s="99"/>
      <c r="GW95" s="99"/>
      <c r="GX95" s="99"/>
      <c r="GY95" s="99"/>
      <c r="GZ95" s="99"/>
      <c r="HA95" s="99"/>
      <c r="HB95" s="99"/>
      <c r="HC95" s="99"/>
      <c r="HD95" s="99"/>
      <c r="HE95" s="99"/>
      <c r="HF95" s="99"/>
      <c r="HG95" s="99"/>
      <c r="HH95" s="99"/>
      <c r="HI95" s="99"/>
      <c r="HJ95" s="99"/>
      <c r="HK95" s="99"/>
      <c r="HL95" s="99"/>
      <c r="HM95" s="99"/>
      <c r="HN95" s="99"/>
      <c r="HO95" s="99"/>
      <c r="HP95" s="99"/>
      <c r="HQ95" s="99"/>
      <c r="HR95" s="99"/>
      <c r="HS95" s="99"/>
      <c r="HT95" s="99"/>
      <c r="HU95" s="99"/>
      <c r="HV95" s="99"/>
      <c r="HW95" s="99"/>
      <c r="HX95" s="99"/>
      <c r="HY95" s="99"/>
      <c r="HZ95" s="99"/>
      <c r="IA95" s="99"/>
      <c r="IB95" s="99"/>
      <c r="IC95" s="99"/>
      <c r="ID95" s="99"/>
      <c r="IE95" s="99"/>
      <c r="IF95" s="99"/>
      <c r="IG95" s="99"/>
      <c r="IH95" s="99"/>
      <c r="II95" s="99"/>
      <c r="IJ95" s="99"/>
      <c r="IT95" s="112"/>
    </row>
    <row r="96" spans="1:254" s="154" customFormat="1" ht="48" thickBot="1">
      <c r="A96" s="115"/>
      <c r="B96" s="255"/>
      <c r="C96" s="316" t="s">
        <v>388</v>
      </c>
      <c r="D96" s="255"/>
      <c r="E96" s="318"/>
      <c r="F96" s="317"/>
      <c r="G96" s="317"/>
      <c r="H96" s="318"/>
      <c r="I96" s="317"/>
      <c r="J96" s="318"/>
      <c r="K96" s="317"/>
      <c r="L96" s="318"/>
      <c r="M96" s="317"/>
      <c r="N96" s="318"/>
      <c r="O96" s="167"/>
      <c r="P96" s="321" t="s">
        <v>340</v>
      </c>
      <c r="Q96" s="168"/>
      <c r="R96" s="169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  <c r="DG96" s="153"/>
      <c r="DH96" s="153"/>
      <c r="DI96" s="153"/>
      <c r="DJ96" s="153"/>
      <c r="DK96" s="153"/>
      <c r="DL96" s="153"/>
      <c r="DM96" s="153"/>
      <c r="DN96" s="153"/>
      <c r="DO96" s="153"/>
      <c r="DP96" s="153"/>
      <c r="DQ96" s="153"/>
      <c r="DR96" s="153"/>
      <c r="DS96" s="153"/>
      <c r="DT96" s="153"/>
      <c r="DU96" s="153"/>
      <c r="DV96" s="153"/>
      <c r="DW96" s="153"/>
      <c r="DX96" s="153"/>
      <c r="DY96" s="153"/>
      <c r="DZ96" s="153"/>
      <c r="EA96" s="153"/>
      <c r="EB96" s="153"/>
      <c r="EC96" s="153"/>
      <c r="ED96" s="153"/>
      <c r="EE96" s="153"/>
      <c r="EF96" s="153"/>
      <c r="EG96" s="153"/>
      <c r="EH96" s="153"/>
      <c r="EI96" s="153"/>
      <c r="EJ96" s="153"/>
      <c r="EK96" s="153"/>
      <c r="EL96" s="153"/>
      <c r="EM96" s="153"/>
      <c r="EN96" s="153"/>
      <c r="EO96" s="153"/>
      <c r="EP96" s="153"/>
      <c r="EQ96" s="153"/>
      <c r="ER96" s="153"/>
      <c r="ES96" s="153"/>
      <c r="ET96" s="153"/>
      <c r="EU96" s="153"/>
      <c r="EV96" s="153"/>
      <c r="EW96" s="153"/>
      <c r="EX96" s="153"/>
      <c r="EY96" s="153"/>
      <c r="EZ96" s="153"/>
      <c r="FA96" s="153"/>
      <c r="FB96" s="153"/>
      <c r="FC96" s="153"/>
      <c r="FD96" s="153"/>
      <c r="FE96" s="153"/>
      <c r="FF96" s="153"/>
      <c r="FG96" s="153"/>
      <c r="FH96" s="153"/>
      <c r="FI96" s="153"/>
      <c r="FJ96" s="153"/>
      <c r="FK96" s="153"/>
      <c r="FL96" s="153"/>
      <c r="FM96" s="153"/>
      <c r="FN96" s="153"/>
      <c r="FO96" s="153"/>
      <c r="FP96" s="153"/>
      <c r="FQ96" s="153"/>
      <c r="FR96" s="153"/>
      <c r="FS96" s="153"/>
      <c r="FT96" s="153"/>
      <c r="FU96" s="153"/>
      <c r="FV96" s="153"/>
      <c r="FW96" s="153"/>
      <c r="FX96" s="153"/>
      <c r="FY96" s="153"/>
      <c r="FZ96" s="153"/>
      <c r="GA96" s="153"/>
      <c r="GB96" s="153"/>
      <c r="GC96" s="153"/>
      <c r="GD96" s="153"/>
      <c r="GE96" s="153"/>
      <c r="GF96" s="153"/>
      <c r="GG96" s="153"/>
      <c r="GH96" s="153"/>
      <c r="GI96" s="153"/>
      <c r="GJ96" s="153"/>
      <c r="GK96" s="153"/>
      <c r="GL96" s="153"/>
      <c r="GM96" s="153"/>
      <c r="GN96" s="153"/>
      <c r="GO96" s="153"/>
      <c r="GP96" s="153"/>
      <c r="GQ96" s="153"/>
      <c r="GR96" s="153"/>
      <c r="GS96" s="153"/>
      <c r="GT96" s="153"/>
      <c r="GU96" s="153"/>
      <c r="GV96" s="153"/>
      <c r="GW96" s="153"/>
      <c r="GX96" s="153"/>
      <c r="GY96" s="153"/>
      <c r="GZ96" s="153"/>
      <c r="HA96" s="153"/>
      <c r="HB96" s="153"/>
      <c r="HC96" s="153"/>
      <c r="HD96" s="153"/>
      <c r="HE96" s="153"/>
      <c r="HF96" s="153"/>
      <c r="HG96" s="153"/>
      <c r="HH96" s="153"/>
      <c r="HI96" s="153"/>
      <c r="HJ96" s="153"/>
      <c r="HK96" s="153"/>
      <c r="HL96" s="153"/>
      <c r="HM96" s="153"/>
      <c r="HN96" s="153"/>
      <c r="HO96" s="153"/>
      <c r="HP96" s="153"/>
      <c r="HQ96" s="153"/>
      <c r="HR96" s="153"/>
      <c r="HS96" s="153"/>
      <c r="HT96" s="153"/>
      <c r="HU96" s="153"/>
      <c r="HV96" s="153"/>
      <c r="HW96" s="153"/>
      <c r="HX96" s="153"/>
      <c r="HY96" s="153"/>
      <c r="HZ96" s="153"/>
      <c r="IA96" s="153"/>
      <c r="IB96" s="153"/>
      <c r="IC96" s="153"/>
      <c r="ID96" s="153"/>
      <c r="IE96" s="153"/>
      <c r="IF96" s="153"/>
      <c r="IG96" s="153"/>
      <c r="IH96" s="153"/>
      <c r="II96" s="153"/>
      <c r="IJ96" s="153"/>
    </row>
    <row r="97" spans="1:254" s="154" customFormat="1" ht="18.75">
      <c r="A97" s="115"/>
      <c r="B97" s="203" t="s">
        <v>196</v>
      </c>
      <c r="C97" s="307" t="s">
        <v>234</v>
      </c>
      <c r="D97" s="187" t="s">
        <v>560</v>
      </c>
      <c r="E97" s="270">
        <v>1.42</v>
      </c>
      <c r="F97" s="203"/>
      <c r="G97" s="176" t="s">
        <v>264</v>
      </c>
      <c r="H97" s="270">
        <v>1.42</v>
      </c>
      <c r="I97" s="176" t="s">
        <v>264</v>
      </c>
      <c r="J97" s="270">
        <v>1.42</v>
      </c>
      <c r="K97" s="176"/>
      <c r="L97" s="270"/>
      <c r="M97" s="176"/>
      <c r="N97" s="270"/>
      <c r="O97" s="168">
        <f>7.64*3.56*0.1</f>
        <v>2.71984</v>
      </c>
      <c r="P97" s="322">
        <v>1.1200000000000001</v>
      </c>
      <c r="Q97" s="324">
        <f>P97-J97</f>
        <v>-0.29999999999999982</v>
      </c>
      <c r="R97" s="323">
        <v>1.42</v>
      </c>
      <c r="S97" s="343">
        <f>R97-H97</f>
        <v>0</v>
      </c>
      <c r="T97" s="153"/>
      <c r="U97" s="153"/>
      <c r="V97" s="153"/>
      <c r="W97" s="153"/>
      <c r="X97" s="153"/>
      <c r="Y97" s="153"/>
      <c r="Z97" s="153"/>
      <c r="AA97" s="153"/>
      <c r="AB97" s="153"/>
      <c r="AC97" s="153"/>
      <c r="AD97" s="153"/>
      <c r="AE97" s="153"/>
      <c r="AF97" s="153"/>
      <c r="AG97" s="153"/>
      <c r="AH97" s="153"/>
      <c r="AI97" s="153"/>
      <c r="AJ97" s="153"/>
      <c r="AK97" s="153"/>
      <c r="AL97" s="153"/>
      <c r="AM97" s="153"/>
      <c r="AN97" s="153"/>
      <c r="AO97" s="153"/>
      <c r="AP97" s="153"/>
      <c r="AQ97" s="153"/>
      <c r="AR97" s="153"/>
      <c r="AS97" s="153"/>
      <c r="AT97" s="153"/>
      <c r="AU97" s="153"/>
      <c r="AV97" s="153"/>
      <c r="AW97" s="153"/>
      <c r="AX97" s="153"/>
      <c r="AY97" s="153"/>
      <c r="AZ97" s="153"/>
      <c r="BA97" s="153"/>
      <c r="BB97" s="153"/>
      <c r="BC97" s="153"/>
      <c r="BD97" s="153"/>
      <c r="BE97" s="153"/>
      <c r="BF97" s="153"/>
      <c r="BG97" s="153"/>
      <c r="BH97" s="153"/>
      <c r="BI97" s="153"/>
      <c r="BJ97" s="153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  <c r="DG97" s="153"/>
      <c r="DH97" s="153"/>
      <c r="DI97" s="153"/>
      <c r="DJ97" s="153"/>
      <c r="DK97" s="153"/>
      <c r="DL97" s="153"/>
      <c r="DM97" s="153"/>
      <c r="DN97" s="153"/>
      <c r="DO97" s="153"/>
      <c r="DP97" s="153"/>
      <c r="DQ97" s="153"/>
      <c r="DR97" s="153"/>
      <c r="DS97" s="153"/>
      <c r="DT97" s="153"/>
      <c r="DU97" s="153"/>
      <c r="DV97" s="153"/>
      <c r="DW97" s="153"/>
      <c r="DX97" s="153"/>
      <c r="DY97" s="153"/>
      <c r="DZ97" s="153"/>
      <c r="EA97" s="153"/>
      <c r="EB97" s="153"/>
      <c r="EC97" s="153"/>
      <c r="ED97" s="153"/>
      <c r="EE97" s="153"/>
      <c r="EF97" s="153"/>
      <c r="EG97" s="153"/>
      <c r="EH97" s="153"/>
      <c r="EI97" s="153"/>
      <c r="EJ97" s="153"/>
      <c r="EK97" s="153"/>
      <c r="EL97" s="153"/>
      <c r="EM97" s="153"/>
      <c r="EN97" s="153"/>
      <c r="EO97" s="153"/>
      <c r="EP97" s="153"/>
      <c r="EQ97" s="153"/>
      <c r="ER97" s="153"/>
      <c r="ES97" s="153"/>
      <c r="ET97" s="153"/>
      <c r="EU97" s="153"/>
      <c r="EV97" s="153"/>
      <c r="EW97" s="153"/>
      <c r="EX97" s="153"/>
      <c r="EY97" s="153"/>
      <c r="EZ97" s="153"/>
      <c r="FA97" s="153"/>
      <c r="FB97" s="153"/>
      <c r="FC97" s="153"/>
      <c r="FD97" s="153"/>
      <c r="FE97" s="153"/>
      <c r="FF97" s="153"/>
      <c r="FG97" s="153"/>
      <c r="FH97" s="153"/>
      <c r="FI97" s="153"/>
      <c r="FJ97" s="153"/>
      <c r="FK97" s="153"/>
      <c r="FL97" s="153"/>
      <c r="FM97" s="153"/>
      <c r="FN97" s="153"/>
      <c r="FO97" s="153"/>
      <c r="FP97" s="153"/>
      <c r="FQ97" s="153"/>
      <c r="FR97" s="153"/>
      <c r="FS97" s="153"/>
      <c r="FT97" s="153"/>
      <c r="FU97" s="153"/>
      <c r="FV97" s="153"/>
      <c r="FW97" s="153"/>
      <c r="FX97" s="153"/>
      <c r="FY97" s="153"/>
      <c r="FZ97" s="153"/>
      <c r="GA97" s="153"/>
      <c r="GB97" s="153"/>
      <c r="GC97" s="153"/>
      <c r="GD97" s="153"/>
      <c r="GE97" s="153"/>
      <c r="GF97" s="153"/>
      <c r="GG97" s="153"/>
      <c r="GH97" s="153"/>
      <c r="GI97" s="153"/>
      <c r="GJ97" s="153"/>
      <c r="GK97" s="153"/>
      <c r="GL97" s="153"/>
      <c r="GM97" s="153"/>
      <c r="GN97" s="153"/>
      <c r="GO97" s="153"/>
      <c r="GP97" s="153"/>
      <c r="GQ97" s="153"/>
      <c r="GR97" s="153"/>
      <c r="GS97" s="153"/>
      <c r="GT97" s="153"/>
      <c r="GU97" s="153"/>
      <c r="GV97" s="153"/>
      <c r="GW97" s="153"/>
      <c r="GX97" s="153"/>
      <c r="GY97" s="153"/>
      <c r="GZ97" s="153"/>
      <c r="HA97" s="153"/>
      <c r="HB97" s="153"/>
      <c r="HC97" s="153"/>
      <c r="HD97" s="153"/>
      <c r="HE97" s="153"/>
      <c r="HF97" s="153"/>
      <c r="HG97" s="153"/>
      <c r="HH97" s="153"/>
      <c r="HI97" s="153"/>
      <c r="HJ97" s="153"/>
      <c r="HK97" s="153"/>
      <c r="HL97" s="153"/>
      <c r="HM97" s="153"/>
      <c r="HN97" s="153"/>
      <c r="HO97" s="153"/>
      <c r="HP97" s="153"/>
      <c r="HQ97" s="153"/>
      <c r="HR97" s="153"/>
      <c r="HS97" s="153"/>
      <c r="HT97" s="153"/>
      <c r="HU97" s="153"/>
      <c r="HV97" s="153"/>
      <c r="HW97" s="153"/>
      <c r="HX97" s="153"/>
      <c r="HY97" s="153"/>
      <c r="HZ97" s="153"/>
      <c r="IA97" s="153"/>
      <c r="IB97" s="153"/>
      <c r="IC97" s="153"/>
      <c r="ID97" s="153"/>
      <c r="IE97" s="153"/>
      <c r="IF97" s="153"/>
      <c r="IG97" s="153"/>
      <c r="IH97" s="153"/>
      <c r="II97" s="153"/>
      <c r="IJ97" s="153"/>
      <c r="IT97" s="190"/>
    </row>
    <row r="98" spans="1:254" s="154" customFormat="1" ht="108" customHeight="1" thickBot="1">
      <c r="A98" s="463" t="s">
        <v>510</v>
      </c>
      <c r="B98" s="467"/>
      <c r="C98" s="482"/>
      <c r="D98" s="469"/>
      <c r="E98" s="473"/>
      <c r="F98" s="404"/>
      <c r="G98" s="473"/>
      <c r="H98" s="473"/>
      <c r="I98" s="473"/>
      <c r="J98" s="473"/>
      <c r="K98" s="473"/>
      <c r="L98" s="473"/>
      <c r="M98" s="473"/>
      <c r="N98" s="475"/>
      <c r="O98" s="168"/>
      <c r="P98" s="322"/>
      <c r="Q98" s="324"/>
      <c r="R98" s="323"/>
      <c r="S98" s="34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/>
      <c r="AT98" s="153"/>
      <c r="AU98" s="153"/>
      <c r="AV98" s="153"/>
      <c r="AW98" s="153"/>
      <c r="AX98" s="153"/>
      <c r="AY98" s="153"/>
      <c r="AZ98" s="153"/>
      <c r="BA98" s="153"/>
      <c r="BB98" s="153"/>
      <c r="BC98" s="153"/>
      <c r="BD98" s="153"/>
      <c r="BE98" s="153"/>
      <c r="BF98" s="153"/>
      <c r="BG98" s="153"/>
      <c r="BH98" s="153"/>
      <c r="BI98" s="153"/>
      <c r="BJ98" s="153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  <c r="DG98" s="153"/>
      <c r="DH98" s="153"/>
      <c r="DI98" s="153"/>
      <c r="DJ98" s="153"/>
      <c r="DK98" s="153"/>
      <c r="DL98" s="153"/>
      <c r="DM98" s="153"/>
      <c r="DN98" s="153"/>
      <c r="DO98" s="153"/>
      <c r="DP98" s="153"/>
      <c r="DQ98" s="153"/>
      <c r="DR98" s="153"/>
      <c r="DS98" s="153"/>
      <c r="DT98" s="153"/>
      <c r="DU98" s="153"/>
      <c r="DV98" s="153"/>
      <c r="DW98" s="153"/>
      <c r="DX98" s="153"/>
      <c r="DY98" s="153"/>
      <c r="DZ98" s="153"/>
      <c r="EA98" s="153"/>
      <c r="EB98" s="153"/>
      <c r="EC98" s="153"/>
      <c r="ED98" s="153"/>
      <c r="EE98" s="153"/>
      <c r="EF98" s="153"/>
      <c r="EG98" s="153"/>
      <c r="EH98" s="153"/>
      <c r="EI98" s="153"/>
      <c r="EJ98" s="153"/>
      <c r="EK98" s="153"/>
      <c r="EL98" s="153"/>
      <c r="EM98" s="153"/>
      <c r="EN98" s="153"/>
      <c r="EO98" s="153"/>
      <c r="EP98" s="153"/>
      <c r="EQ98" s="153"/>
      <c r="ER98" s="153"/>
      <c r="ES98" s="153"/>
      <c r="ET98" s="153"/>
      <c r="EU98" s="153"/>
      <c r="EV98" s="153"/>
      <c r="EW98" s="153"/>
      <c r="EX98" s="153"/>
      <c r="EY98" s="153"/>
      <c r="EZ98" s="153"/>
      <c r="FA98" s="153"/>
      <c r="FB98" s="153"/>
      <c r="FC98" s="153"/>
      <c r="FD98" s="153"/>
      <c r="FE98" s="153"/>
      <c r="FF98" s="153"/>
      <c r="FG98" s="153"/>
      <c r="FH98" s="153"/>
      <c r="FI98" s="153"/>
      <c r="FJ98" s="153"/>
      <c r="FK98" s="153"/>
      <c r="FL98" s="153"/>
      <c r="FM98" s="153"/>
      <c r="FN98" s="153"/>
      <c r="FO98" s="153"/>
      <c r="FP98" s="153"/>
      <c r="FQ98" s="153"/>
      <c r="FR98" s="153"/>
      <c r="FS98" s="153"/>
      <c r="FT98" s="153"/>
      <c r="FU98" s="153"/>
      <c r="FV98" s="153"/>
      <c r="FW98" s="153"/>
      <c r="FX98" s="153"/>
      <c r="FY98" s="153"/>
      <c r="FZ98" s="153"/>
      <c r="GA98" s="153"/>
      <c r="GB98" s="153"/>
      <c r="GC98" s="153"/>
      <c r="GD98" s="153"/>
      <c r="GE98" s="153"/>
      <c r="GF98" s="153"/>
      <c r="GG98" s="153"/>
      <c r="GH98" s="153"/>
      <c r="GI98" s="153"/>
      <c r="GJ98" s="153"/>
      <c r="GK98" s="153"/>
      <c r="GL98" s="153"/>
      <c r="GM98" s="153"/>
      <c r="GN98" s="153"/>
      <c r="GO98" s="153"/>
      <c r="GP98" s="153"/>
      <c r="GQ98" s="153"/>
      <c r="GR98" s="153"/>
      <c r="GS98" s="153"/>
      <c r="GT98" s="153"/>
      <c r="GU98" s="153"/>
      <c r="GV98" s="153"/>
      <c r="GW98" s="153"/>
      <c r="GX98" s="153"/>
      <c r="GY98" s="153"/>
      <c r="GZ98" s="153"/>
      <c r="HA98" s="153"/>
      <c r="HB98" s="153"/>
      <c r="HC98" s="153"/>
      <c r="HD98" s="153"/>
      <c r="HE98" s="153"/>
      <c r="HF98" s="153"/>
      <c r="HG98" s="153"/>
      <c r="HH98" s="153"/>
      <c r="HI98" s="153"/>
      <c r="HJ98" s="153"/>
      <c r="HK98" s="153"/>
      <c r="HL98" s="153"/>
      <c r="HM98" s="153"/>
      <c r="HN98" s="153"/>
      <c r="HO98" s="153"/>
      <c r="HP98" s="153"/>
      <c r="HQ98" s="153"/>
      <c r="HR98" s="153"/>
      <c r="HS98" s="153"/>
      <c r="HT98" s="153"/>
      <c r="HU98" s="153"/>
      <c r="HV98" s="153"/>
      <c r="HW98" s="153"/>
      <c r="HX98" s="153"/>
      <c r="HY98" s="153"/>
      <c r="HZ98" s="153"/>
      <c r="IA98" s="153"/>
      <c r="IB98" s="153"/>
      <c r="IC98" s="153"/>
      <c r="ID98" s="153"/>
      <c r="IE98" s="153"/>
      <c r="IF98" s="153"/>
      <c r="IG98" s="153"/>
      <c r="IH98" s="153"/>
      <c r="II98" s="153"/>
      <c r="IJ98" s="153"/>
      <c r="IT98" s="190"/>
    </row>
    <row r="99" spans="1:254" s="154" customFormat="1" ht="30" customHeight="1" thickBot="1">
      <c r="A99" s="463" t="s">
        <v>510</v>
      </c>
      <c r="B99" s="479"/>
      <c r="C99" s="483"/>
      <c r="D99" s="476"/>
      <c r="E99" s="477"/>
      <c r="F99" s="479"/>
      <c r="G99" s="477"/>
      <c r="H99" s="477"/>
      <c r="I99" s="477"/>
      <c r="J99" s="477"/>
      <c r="K99" s="477"/>
      <c r="L99" s="477"/>
      <c r="M99" s="477"/>
      <c r="N99" s="477"/>
      <c r="O99" s="168"/>
      <c r="P99" s="322"/>
      <c r="Q99" s="324"/>
      <c r="R99" s="323"/>
      <c r="S99" s="34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/>
      <c r="BF99" s="153"/>
      <c r="BG99" s="153"/>
      <c r="BH99" s="153"/>
      <c r="BI99" s="153"/>
      <c r="BJ99" s="153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  <c r="DG99" s="153"/>
      <c r="DH99" s="153"/>
      <c r="DI99" s="153"/>
      <c r="DJ99" s="153"/>
      <c r="DK99" s="153"/>
      <c r="DL99" s="153"/>
      <c r="DM99" s="153"/>
      <c r="DN99" s="153"/>
      <c r="DO99" s="153"/>
      <c r="DP99" s="153"/>
      <c r="DQ99" s="153"/>
      <c r="DR99" s="153"/>
      <c r="DS99" s="153"/>
      <c r="DT99" s="153"/>
      <c r="DU99" s="153"/>
      <c r="DV99" s="153"/>
      <c r="DW99" s="153"/>
      <c r="DX99" s="153"/>
      <c r="DY99" s="153"/>
      <c r="DZ99" s="153"/>
      <c r="EA99" s="153"/>
      <c r="EB99" s="153"/>
      <c r="EC99" s="153"/>
      <c r="ED99" s="153"/>
      <c r="EE99" s="153"/>
      <c r="EF99" s="153"/>
      <c r="EG99" s="153"/>
      <c r="EH99" s="153"/>
      <c r="EI99" s="153"/>
      <c r="EJ99" s="153"/>
      <c r="EK99" s="153"/>
      <c r="EL99" s="153"/>
      <c r="EM99" s="153"/>
      <c r="EN99" s="153"/>
      <c r="EO99" s="153"/>
      <c r="EP99" s="153"/>
      <c r="EQ99" s="153"/>
      <c r="ER99" s="153"/>
      <c r="ES99" s="153"/>
      <c r="ET99" s="153"/>
      <c r="EU99" s="153"/>
      <c r="EV99" s="153"/>
      <c r="EW99" s="153"/>
      <c r="EX99" s="153"/>
      <c r="EY99" s="153"/>
      <c r="EZ99" s="153"/>
      <c r="FA99" s="153"/>
      <c r="FB99" s="153"/>
      <c r="FC99" s="153"/>
      <c r="FD99" s="153"/>
      <c r="FE99" s="153"/>
      <c r="FF99" s="153"/>
      <c r="FG99" s="153"/>
      <c r="FH99" s="153"/>
      <c r="FI99" s="153"/>
      <c r="FJ99" s="153"/>
      <c r="FK99" s="153"/>
      <c r="FL99" s="153"/>
      <c r="FM99" s="153"/>
      <c r="FN99" s="153"/>
      <c r="FO99" s="153"/>
      <c r="FP99" s="153"/>
      <c r="FQ99" s="153"/>
      <c r="FR99" s="153"/>
      <c r="FS99" s="153"/>
      <c r="FT99" s="153"/>
      <c r="FU99" s="153"/>
      <c r="FV99" s="153"/>
      <c r="FW99" s="153"/>
      <c r="FX99" s="153"/>
      <c r="FY99" s="153"/>
      <c r="FZ99" s="153"/>
      <c r="GA99" s="153"/>
      <c r="GB99" s="153"/>
      <c r="GC99" s="153"/>
      <c r="GD99" s="153"/>
      <c r="GE99" s="153"/>
      <c r="GF99" s="153"/>
      <c r="GG99" s="153"/>
      <c r="GH99" s="153"/>
      <c r="GI99" s="153"/>
      <c r="GJ99" s="153"/>
      <c r="GK99" s="153"/>
      <c r="GL99" s="153"/>
      <c r="GM99" s="153"/>
      <c r="GN99" s="153"/>
      <c r="GO99" s="153"/>
      <c r="GP99" s="153"/>
      <c r="GQ99" s="153"/>
      <c r="GR99" s="153"/>
      <c r="GS99" s="153"/>
      <c r="GT99" s="153"/>
      <c r="GU99" s="153"/>
      <c r="GV99" s="153"/>
      <c r="GW99" s="153"/>
      <c r="GX99" s="153"/>
      <c r="GY99" s="153"/>
      <c r="GZ99" s="153"/>
      <c r="HA99" s="153"/>
      <c r="HB99" s="153"/>
      <c r="HC99" s="153"/>
      <c r="HD99" s="153"/>
      <c r="HE99" s="153"/>
      <c r="HF99" s="153"/>
      <c r="HG99" s="153"/>
      <c r="HH99" s="153"/>
      <c r="HI99" s="153"/>
      <c r="HJ99" s="153"/>
      <c r="HK99" s="153"/>
      <c r="HL99" s="153"/>
      <c r="HM99" s="153"/>
      <c r="HN99" s="153"/>
      <c r="HO99" s="153"/>
      <c r="HP99" s="153"/>
      <c r="HQ99" s="153"/>
      <c r="HR99" s="153"/>
      <c r="HS99" s="153"/>
      <c r="HT99" s="153"/>
      <c r="HU99" s="153"/>
      <c r="HV99" s="153"/>
      <c r="HW99" s="153"/>
      <c r="HX99" s="153"/>
      <c r="HY99" s="153"/>
      <c r="HZ99" s="153"/>
      <c r="IA99" s="153"/>
      <c r="IB99" s="153"/>
      <c r="IC99" s="153"/>
      <c r="ID99" s="153"/>
      <c r="IE99" s="153"/>
      <c r="IF99" s="153"/>
      <c r="IG99" s="153"/>
      <c r="IH99" s="153"/>
      <c r="II99" s="153"/>
      <c r="IJ99" s="153"/>
      <c r="IT99" s="190"/>
    </row>
    <row r="100" spans="1:254" ht="36" customHeight="1" thickBot="1">
      <c r="A100" s="463" t="s">
        <v>510</v>
      </c>
      <c r="B100" s="642" t="s">
        <v>35</v>
      </c>
      <c r="C100" s="642" t="s">
        <v>36</v>
      </c>
      <c r="D100" s="642" t="s">
        <v>37</v>
      </c>
      <c r="E100" s="642" t="s">
        <v>92</v>
      </c>
      <c r="F100" s="642" t="s">
        <v>18</v>
      </c>
      <c r="G100" s="645" t="s">
        <v>100</v>
      </c>
      <c r="H100" s="646"/>
      <c r="I100" s="646"/>
      <c r="J100" s="646"/>
      <c r="K100" s="646"/>
      <c r="L100" s="646"/>
      <c r="M100" s="646"/>
      <c r="N100" s="647"/>
      <c r="O100" s="134"/>
      <c r="P100" s="134"/>
      <c r="Q100" s="134"/>
      <c r="R100" s="134"/>
    </row>
    <row r="101" spans="1:254" ht="15.75" customHeight="1" thickBot="1">
      <c r="A101" s="463" t="s">
        <v>510</v>
      </c>
      <c r="B101" s="643"/>
      <c r="C101" s="643"/>
      <c r="D101" s="643"/>
      <c r="E101" s="643"/>
      <c r="F101" s="643"/>
      <c r="G101" s="645" t="s">
        <v>553</v>
      </c>
      <c r="H101" s="648"/>
      <c r="I101" s="645" t="s">
        <v>575</v>
      </c>
      <c r="J101" s="648"/>
      <c r="K101" s="645" t="s">
        <v>554</v>
      </c>
      <c r="L101" s="648"/>
      <c r="M101" s="645" t="s">
        <v>554</v>
      </c>
      <c r="N101" s="648"/>
      <c r="O101" s="134"/>
      <c r="P101" s="134"/>
      <c r="Q101" s="134"/>
      <c r="R101" s="134"/>
    </row>
    <row r="102" spans="1:254" ht="16.5" thickBot="1">
      <c r="A102" s="463" t="s">
        <v>510</v>
      </c>
      <c r="B102" s="644"/>
      <c r="C102" s="644"/>
      <c r="D102" s="644"/>
      <c r="E102" s="644"/>
      <c r="F102" s="644"/>
      <c r="G102" s="118" t="s">
        <v>38</v>
      </c>
      <c r="H102" s="118" t="s">
        <v>39</v>
      </c>
      <c r="I102" s="118" t="s">
        <v>38</v>
      </c>
      <c r="J102" s="118" t="s">
        <v>39</v>
      </c>
      <c r="K102" s="118" t="s">
        <v>38</v>
      </c>
      <c r="L102" s="118" t="s">
        <v>39</v>
      </c>
      <c r="M102" s="118" t="s">
        <v>38</v>
      </c>
      <c r="N102" s="118" t="s">
        <v>39</v>
      </c>
      <c r="O102" s="134"/>
      <c r="P102" s="134"/>
      <c r="Q102" s="134"/>
      <c r="R102" s="134"/>
    </row>
    <row r="103" spans="1:254">
      <c r="A103" s="463" t="s">
        <v>510</v>
      </c>
      <c r="B103" s="119" t="s">
        <v>115</v>
      </c>
      <c r="C103" s="120" t="s">
        <v>116</v>
      </c>
      <c r="D103" s="120" t="s">
        <v>117</v>
      </c>
      <c r="E103" s="120" t="s">
        <v>118</v>
      </c>
      <c r="F103" s="119" t="s">
        <v>119</v>
      </c>
      <c r="G103" s="121" t="s">
        <v>120</v>
      </c>
      <c r="H103" s="121" t="s">
        <v>121</v>
      </c>
      <c r="I103" s="122">
        <v>8</v>
      </c>
      <c r="J103" s="123">
        <v>9</v>
      </c>
      <c r="K103" s="124">
        <v>10</v>
      </c>
      <c r="L103" s="123">
        <v>11</v>
      </c>
      <c r="M103" s="124">
        <v>12</v>
      </c>
      <c r="N103" s="123">
        <v>13</v>
      </c>
      <c r="O103" s="125"/>
      <c r="P103" s="125"/>
      <c r="Q103" s="125"/>
      <c r="R103" s="125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  <c r="CM103" s="99"/>
      <c r="CN103" s="99"/>
      <c r="CO103" s="99"/>
      <c r="CP103" s="99"/>
      <c r="CQ103" s="99"/>
      <c r="CR103" s="99"/>
      <c r="CS103" s="99"/>
      <c r="CT103" s="99"/>
      <c r="CU103" s="99"/>
      <c r="CV103" s="99"/>
      <c r="CW103" s="99"/>
      <c r="CX103" s="99"/>
      <c r="CY103" s="99"/>
      <c r="CZ103" s="99"/>
      <c r="DA103" s="99"/>
      <c r="DB103" s="99"/>
      <c r="DC103" s="99"/>
      <c r="DD103" s="99"/>
      <c r="DE103" s="99"/>
      <c r="DF103" s="99"/>
      <c r="DG103" s="99"/>
      <c r="DH103" s="99"/>
      <c r="DI103" s="99"/>
      <c r="DJ103" s="99"/>
      <c r="DK103" s="99"/>
      <c r="DL103" s="99"/>
      <c r="DM103" s="99"/>
      <c r="DN103" s="99"/>
      <c r="DO103" s="99"/>
      <c r="DP103" s="99"/>
      <c r="DQ103" s="99"/>
      <c r="DR103" s="99"/>
      <c r="DS103" s="99"/>
      <c r="DT103" s="99"/>
      <c r="DU103" s="99"/>
      <c r="DV103" s="99"/>
      <c r="DW103" s="99"/>
      <c r="DX103" s="99"/>
      <c r="DY103" s="99"/>
      <c r="DZ103" s="99"/>
      <c r="EA103" s="99"/>
      <c r="EB103" s="99"/>
      <c r="EC103" s="99"/>
      <c r="ED103" s="99"/>
      <c r="EE103" s="99"/>
      <c r="EF103" s="99"/>
      <c r="EG103" s="99"/>
      <c r="EH103" s="99"/>
      <c r="EI103" s="99"/>
      <c r="EJ103" s="99"/>
      <c r="EK103" s="99"/>
      <c r="EL103" s="99"/>
      <c r="EM103" s="99"/>
      <c r="EN103" s="99"/>
      <c r="EO103" s="99"/>
      <c r="EP103" s="99"/>
      <c r="EQ103" s="99"/>
      <c r="ER103" s="99"/>
      <c r="ES103" s="99"/>
      <c r="ET103" s="99"/>
      <c r="EU103" s="99"/>
      <c r="EV103" s="99"/>
      <c r="EW103" s="99"/>
      <c r="EX103" s="99"/>
      <c r="EY103" s="99"/>
      <c r="EZ103" s="99"/>
      <c r="FA103" s="99"/>
      <c r="FB103" s="99"/>
      <c r="FC103" s="99"/>
      <c r="FD103" s="99"/>
      <c r="FE103" s="99"/>
      <c r="FF103" s="99"/>
      <c r="FG103" s="99"/>
      <c r="FH103" s="99"/>
      <c r="FI103" s="99"/>
      <c r="FJ103" s="99"/>
      <c r="FK103" s="99"/>
      <c r="FL103" s="99"/>
      <c r="FM103" s="99"/>
      <c r="FN103" s="99"/>
      <c r="FO103" s="99"/>
      <c r="FP103" s="99"/>
      <c r="FQ103" s="99"/>
      <c r="FR103" s="99"/>
      <c r="FS103" s="99"/>
      <c r="FT103" s="99"/>
      <c r="FU103" s="99"/>
      <c r="FV103" s="99"/>
      <c r="FW103" s="99"/>
      <c r="FX103" s="99"/>
      <c r="FY103" s="99"/>
      <c r="FZ103" s="99"/>
      <c r="GA103" s="99"/>
      <c r="GB103" s="99"/>
      <c r="GC103" s="99"/>
      <c r="GD103" s="99"/>
      <c r="GE103" s="99"/>
      <c r="GF103" s="99"/>
      <c r="GG103" s="99"/>
      <c r="GH103" s="99"/>
      <c r="GI103" s="99"/>
      <c r="GJ103" s="99"/>
      <c r="GK103" s="99"/>
      <c r="GL103" s="99"/>
      <c r="GM103" s="99"/>
      <c r="GN103" s="99"/>
      <c r="GO103" s="99"/>
      <c r="GP103" s="99"/>
      <c r="GQ103" s="99"/>
      <c r="GR103" s="99"/>
      <c r="GS103" s="99"/>
      <c r="GT103" s="99"/>
      <c r="GU103" s="99"/>
      <c r="GV103" s="99"/>
      <c r="GW103" s="99"/>
      <c r="GX103" s="99"/>
      <c r="GY103" s="99"/>
      <c r="GZ103" s="99"/>
      <c r="HA103" s="99"/>
      <c r="HB103" s="99"/>
      <c r="HC103" s="99"/>
      <c r="HD103" s="99"/>
      <c r="HE103" s="99"/>
      <c r="HF103" s="99"/>
      <c r="HG103" s="99"/>
      <c r="HH103" s="99"/>
      <c r="HI103" s="99"/>
      <c r="HJ103" s="99"/>
      <c r="HK103" s="99"/>
      <c r="HL103" s="99"/>
      <c r="HM103" s="99"/>
      <c r="HN103" s="99"/>
      <c r="HO103" s="99"/>
      <c r="HP103" s="99"/>
      <c r="HQ103" s="99"/>
      <c r="HR103" s="99"/>
      <c r="HS103" s="99"/>
      <c r="HT103" s="99"/>
      <c r="HU103" s="99"/>
      <c r="HV103" s="99"/>
      <c r="HW103" s="99"/>
      <c r="HX103" s="99"/>
      <c r="HY103" s="99"/>
      <c r="HZ103" s="99"/>
      <c r="IA103" s="99"/>
      <c r="IB103" s="99"/>
      <c r="IC103" s="99"/>
      <c r="ID103" s="99"/>
      <c r="IE103" s="99"/>
      <c r="IF103" s="99"/>
      <c r="IG103" s="99"/>
      <c r="IH103" s="99"/>
      <c r="II103" s="99"/>
      <c r="IJ103" s="99"/>
    </row>
    <row r="104" spans="1:254" s="154" customFormat="1" ht="47.25">
      <c r="A104" s="115"/>
      <c r="B104" s="185" t="s">
        <v>197</v>
      </c>
      <c r="C104" s="208" t="s">
        <v>374</v>
      </c>
      <c r="D104" s="136" t="s">
        <v>141</v>
      </c>
      <c r="E104" s="223">
        <v>0.56899999999999995</v>
      </c>
      <c r="F104" s="267"/>
      <c r="G104" s="159" t="s">
        <v>264</v>
      </c>
      <c r="H104" s="223">
        <v>0.56899999999999995</v>
      </c>
      <c r="I104" s="159" t="s">
        <v>264</v>
      </c>
      <c r="J104" s="223">
        <v>0.56899999999999995</v>
      </c>
      <c r="K104" s="159"/>
      <c r="L104" s="223"/>
      <c r="M104" s="159"/>
      <c r="N104" s="223"/>
      <c r="O104" s="168">
        <f>549.82/1000</f>
        <v>0.54982000000000009</v>
      </c>
      <c r="P104" s="322">
        <v>0.48305999999999999</v>
      </c>
      <c r="Q104" s="324">
        <f>P104-L104</f>
        <v>0.48305999999999999</v>
      </c>
      <c r="R104" s="323">
        <f>0.56884</f>
        <v>0.56884000000000001</v>
      </c>
      <c r="S104" s="343">
        <f>R104-H104</f>
        <v>-1.5999999999993797E-4</v>
      </c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53"/>
      <c r="BB104" s="153"/>
      <c r="BC104" s="153"/>
      <c r="BD104" s="153"/>
      <c r="BE104" s="153"/>
      <c r="BF104" s="153"/>
      <c r="BG104" s="153"/>
      <c r="BH104" s="153"/>
      <c r="BI104" s="153"/>
      <c r="BJ104" s="153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  <c r="DG104" s="153"/>
      <c r="DH104" s="153"/>
      <c r="DI104" s="153"/>
      <c r="DJ104" s="153"/>
      <c r="DK104" s="153"/>
      <c r="DL104" s="153"/>
      <c r="DM104" s="153"/>
      <c r="DN104" s="153"/>
      <c r="DO104" s="153"/>
      <c r="DP104" s="153"/>
      <c r="DQ104" s="153"/>
      <c r="DR104" s="153"/>
      <c r="DS104" s="153"/>
      <c r="DT104" s="153"/>
      <c r="DU104" s="153"/>
      <c r="DV104" s="153"/>
      <c r="DW104" s="153"/>
      <c r="DX104" s="153"/>
      <c r="DY104" s="153"/>
      <c r="DZ104" s="153"/>
      <c r="EA104" s="153"/>
      <c r="EB104" s="153"/>
      <c r="EC104" s="153"/>
      <c r="ED104" s="153"/>
      <c r="EE104" s="153"/>
      <c r="EF104" s="153"/>
      <c r="EG104" s="153"/>
      <c r="EH104" s="153"/>
      <c r="EI104" s="153"/>
      <c r="EJ104" s="153"/>
      <c r="EK104" s="153"/>
      <c r="EL104" s="153"/>
      <c r="EM104" s="153"/>
      <c r="EN104" s="153"/>
      <c r="EO104" s="153"/>
      <c r="EP104" s="153"/>
      <c r="EQ104" s="153"/>
      <c r="ER104" s="153"/>
      <c r="ES104" s="153"/>
      <c r="ET104" s="153"/>
      <c r="EU104" s="153"/>
      <c r="EV104" s="153"/>
      <c r="EW104" s="153"/>
      <c r="EX104" s="153"/>
      <c r="EY104" s="153"/>
      <c r="EZ104" s="153"/>
      <c r="FA104" s="153"/>
      <c r="FB104" s="153"/>
      <c r="FC104" s="153"/>
      <c r="FD104" s="153"/>
      <c r="FE104" s="153"/>
      <c r="FF104" s="153"/>
      <c r="FG104" s="153"/>
      <c r="FH104" s="153"/>
      <c r="FI104" s="153"/>
      <c r="FJ104" s="153"/>
      <c r="FK104" s="153"/>
      <c r="FL104" s="153"/>
      <c r="FM104" s="153"/>
      <c r="FN104" s="153"/>
      <c r="FO104" s="153"/>
      <c r="FP104" s="153"/>
      <c r="FQ104" s="153"/>
      <c r="FR104" s="153"/>
      <c r="FS104" s="153"/>
      <c r="FT104" s="153"/>
      <c r="FU104" s="153"/>
      <c r="FV104" s="153"/>
      <c r="FW104" s="153"/>
      <c r="FX104" s="153"/>
      <c r="FY104" s="153"/>
      <c r="FZ104" s="153"/>
      <c r="GA104" s="153"/>
      <c r="GB104" s="153"/>
      <c r="GC104" s="153"/>
      <c r="GD104" s="153"/>
      <c r="GE104" s="153"/>
      <c r="GF104" s="153"/>
      <c r="GG104" s="153"/>
      <c r="GH104" s="153"/>
      <c r="GI104" s="153"/>
      <c r="GJ104" s="153"/>
      <c r="GK104" s="153"/>
      <c r="GL104" s="153"/>
      <c r="GM104" s="153"/>
      <c r="GN104" s="153"/>
      <c r="GO104" s="153"/>
      <c r="GP104" s="153"/>
      <c r="GQ104" s="153"/>
      <c r="GR104" s="153"/>
      <c r="GS104" s="153"/>
      <c r="GT104" s="153"/>
      <c r="GU104" s="153"/>
      <c r="GV104" s="153"/>
      <c r="GW104" s="153"/>
      <c r="GX104" s="153"/>
      <c r="GY104" s="153"/>
      <c r="GZ104" s="153"/>
      <c r="HA104" s="153"/>
      <c r="HB104" s="153"/>
      <c r="HC104" s="153"/>
      <c r="HD104" s="153"/>
      <c r="HE104" s="153"/>
      <c r="HF104" s="153"/>
      <c r="HG104" s="153"/>
      <c r="HH104" s="153"/>
      <c r="HI104" s="153"/>
      <c r="HJ104" s="153"/>
      <c r="HK104" s="153"/>
      <c r="HL104" s="153"/>
      <c r="HM104" s="153"/>
      <c r="HN104" s="153"/>
      <c r="HO104" s="153"/>
      <c r="HP104" s="153"/>
      <c r="HQ104" s="153"/>
      <c r="HR104" s="153"/>
      <c r="HS104" s="153"/>
      <c r="HT104" s="153"/>
      <c r="HU104" s="153"/>
      <c r="HV104" s="153"/>
      <c r="HW104" s="153"/>
      <c r="HX104" s="153"/>
      <c r="HY104" s="153"/>
      <c r="HZ104" s="153"/>
      <c r="IA104" s="153"/>
      <c r="IB104" s="153"/>
      <c r="IC104" s="153"/>
      <c r="ID104" s="153"/>
      <c r="IE104" s="153"/>
      <c r="IF104" s="153"/>
      <c r="IG104" s="153"/>
      <c r="IH104" s="153"/>
      <c r="II104" s="153"/>
      <c r="IJ104" s="153"/>
      <c r="IT104" s="190"/>
    </row>
    <row r="105" spans="1:254" s="154" customFormat="1" ht="47.25">
      <c r="A105" s="115"/>
      <c r="B105" s="186" t="s">
        <v>198</v>
      </c>
      <c r="C105" s="328" t="s">
        <v>308</v>
      </c>
      <c r="D105" s="136" t="s">
        <v>141</v>
      </c>
      <c r="E105" s="223">
        <v>1.4999999999999999E-2</v>
      </c>
      <c r="F105" s="258"/>
      <c r="G105" s="159" t="s">
        <v>264</v>
      </c>
      <c r="H105" s="223">
        <v>1.4999999999999999E-2</v>
      </c>
      <c r="I105" s="159" t="s">
        <v>264</v>
      </c>
      <c r="J105" s="223">
        <v>1.4999999999999999E-2</v>
      </c>
      <c r="K105" s="159"/>
      <c r="L105" s="223"/>
      <c r="M105" s="159"/>
      <c r="N105" s="223"/>
      <c r="O105" s="153">
        <f>9.36/1000</f>
        <v>9.3600000000000003E-3</v>
      </c>
      <c r="P105" s="322">
        <v>1.2540000000000001E-2</v>
      </c>
      <c r="Q105" s="324">
        <f>P105-L105</f>
        <v>1.2540000000000001E-2</v>
      </c>
      <c r="R105" s="323">
        <f>0.01482</f>
        <v>1.482E-2</v>
      </c>
      <c r="S105" s="343">
        <f>R105-H105</f>
        <v>-1.799999999999996E-4</v>
      </c>
      <c r="T105" s="153"/>
      <c r="U105" s="153"/>
      <c r="V105" s="153"/>
      <c r="W105" s="153"/>
      <c r="X105" s="153"/>
      <c r="Y105" s="153"/>
      <c r="Z105" s="153"/>
      <c r="AA105" s="153"/>
      <c r="AB105" s="153"/>
      <c r="AC105" s="153"/>
      <c r="AD105" s="153"/>
      <c r="AE105" s="153"/>
      <c r="AF105" s="153"/>
      <c r="AG105" s="153"/>
      <c r="AH105" s="153"/>
      <c r="AI105" s="153"/>
      <c r="AJ105" s="153"/>
      <c r="AK105" s="153"/>
      <c r="AL105" s="153"/>
      <c r="AM105" s="153"/>
      <c r="AN105" s="153"/>
      <c r="AO105" s="153"/>
      <c r="AP105" s="153"/>
      <c r="AQ105" s="153"/>
      <c r="AR105" s="153"/>
      <c r="AS105" s="153"/>
      <c r="AT105" s="153"/>
      <c r="AU105" s="153"/>
      <c r="AV105" s="153"/>
      <c r="AW105" s="153"/>
      <c r="AX105" s="153"/>
      <c r="AY105" s="153"/>
      <c r="AZ105" s="153"/>
      <c r="BA105" s="153"/>
      <c r="BB105" s="153"/>
      <c r="BC105" s="153"/>
      <c r="BD105" s="153"/>
      <c r="BE105" s="153"/>
      <c r="BF105" s="153"/>
      <c r="BG105" s="153"/>
      <c r="BH105" s="153"/>
      <c r="BI105" s="153"/>
      <c r="BJ105" s="153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  <c r="DG105" s="153"/>
      <c r="DH105" s="153"/>
      <c r="DI105" s="153"/>
      <c r="DJ105" s="153"/>
      <c r="DK105" s="153"/>
      <c r="DL105" s="153"/>
      <c r="DM105" s="153"/>
      <c r="DN105" s="153"/>
      <c r="DO105" s="153"/>
      <c r="DP105" s="153"/>
      <c r="DQ105" s="153"/>
      <c r="DR105" s="153"/>
      <c r="DS105" s="153"/>
      <c r="DT105" s="153"/>
      <c r="DU105" s="153"/>
      <c r="DV105" s="153"/>
      <c r="DW105" s="153"/>
      <c r="DX105" s="153"/>
      <c r="DY105" s="153"/>
      <c r="DZ105" s="153"/>
      <c r="EA105" s="153"/>
      <c r="EB105" s="153"/>
      <c r="EC105" s="153"/>
      <c r="ED105" s="153"/>
      <c r="EE105" s="153"/>
      <c r="EF105" s="153"/>
      <c r="EG105" s="153"/>
      <c r="EH105" s="153"/>
      <c r="EI105" s="153"/>
      <c r="EJ105" s="153"/>
      <c r="EK105" s="153"/>
      <c r="EL105" s="153"/>
      <c r="EM105" s="153"/>
      <c r="EN105" s="153"/>
      <c r="EO105" s="153"/>
      <c r="EP105" s="153"/>
      <c r="EQ105" s="153"/>
      <c r="ER105" s="153"/>
      <c r="ES105" s="153"/>
      <c r="ET105" s="153"/>
      <c r="EU105" s="153"/>
      <c r="EV105" s="153"/>
      <c r="EW105" s="153"/>
      <c r="EX105" s="153"/>
      <c r="EY105" s="153"/>
      <c r="EZ105" s="153"/>
      <c r="FA105" s="153"/>
      <c r="FB105" s="153"/>
      <c r="FC105" s="153"/>
      <c r="FD105" s="153"/>
      <c r="FE105" s="153"/>
      <c r="FF105" s="153"/>
      <c r="FG105" s="153"/>
      <c r="FH105" s="153"/>
      <c r="FI105" s="153"/>
      <c r="FJ105" s="153"/>
      <c r="FK105" s="153"/>
      <c r="FL105" s="153"/>
      <c r="FM105" s="153"/>
      <c r="FN105" s="153"/>
      <c r="FO105" s="153"/>
      <c r="FP105" s="153"/>
      <c r="FQ105" s="153"/>
      <c r="FR105" s="153"/>
      <c r="FS105" s="153"/>
      <c r="FT105" s="153"/>
      <c r="FU105" s="153"/>
      <c r="FV105" s="153"/>
      <c r="FW105" s="153"/>
      <c r="FX105" s="153"/>
      <c r="FY105" s="153"/>
      <c r="FZ105" s="153"/>
      <c r="GA105" s="153"/>
      <c r="GB105" s="153"/>
      <c r="GC105" s="153"/>
      <c r="GD105" s="153"/>
      <c r="GE105" s="153"/>
      <c r="GF105" s="153"/>
      <c r="GG105" s="153"/>
      <c r="GH105" s="153"/>
      <c r="GI105" s="153"/>
      <c r="GJ105" s="153"/>
      <c r="GK105" s="153"/>
      <c r="GL105" s="153"/>
      <c r="GM105" s="153"/>
      <c r="GN105" s="153"/>
      <c r="GO105" s="153"/>
      <c r="GP105" s="153"/>
      <c r="GQ105" s="153"/>
      <c r="GR105" s="153"/>
      <c r="GS105" s="153"/>
      <c r="GT105" s="153"/>
      <c r="GU105" s="153"/>
      <c r="GV105" s="153"/>
      <c r="GW105" s="153"/>
      <c r="GX105" s="153"/>
      <c r="GY105" s="153"/>
      <c r="GZ105" s="153"/>
      <c r="HA105" s="153"/>
      <c r="HB105" s="153"/>
      <c r="HC105" s="153"/>
      <c r="HD105" s="153"/>
      <c r="HE105" s="153"/>
      <c r="HF105" s="153"/>
      <c r="HG105" s="153"/>
      <c r="HH105" s="153"/>
      <c r="HI105" s="153"/>
      <c r="HJ105" s="153"/>
      <c r="HK105" s="153"/>
      <c r="HL105" s="153"/>
      <c r="HM105" s="153"/>
      <c r="HN105" s="153"/>
      <c r="HO105" s="153"/>
      <c r="HP105" s="153"/>
      <c r="HQ105" s="153"/>
      <c r="HR105" s="153"/>
      <c r="HS105" s="153"/>
      <c r="HT105" s="153"/>
      <c r="HU105" s="153"/>
      <c r="HV105" s="153"/>
      <c r="HW105" s="153"/>
      <c r="HX105" s="153"/>
      <c r="HY105" s="153"/>
      <c r="HZ105" s="153"/>
      <c r="IA105" s="153"/>
      <c r="IB105" s="153"/>
      <c r="IC105" s="153"/>
      <c r="ID105" s="153"/>
      <c r="IE105" s="153"/>
      <c r="IF105" s="153"/>
      <c r="IG105" s="153"/>
      <c r="IH105" s="153"/>
      <c r="II105" s="153"/>
      <c r="IJ105" s="153"/>
      <c r="IT105" s="190"/>
    </row>
    <row r="106" spans="1:254" s="154" customFormat="1" ht="31.5">
      <c r="A106" s="115"/>
      <c r="B106" s="185" t="s">
        <v>199</v>
      </c>
      <c r="C106" s="208" t="s">
        <v>309</v>
      </c>
      <c r="D106" s="136" t="s">
        <v>141</v>
      </c>
      <c r="E106" s="223">
        <v>0.54500000000000004</v>
      </c>
      <c r="F106" s="267"/>
      <c r="G106" s="159" t="s">
        <v>264</v>
      </c>
      <c r="H106" s="223">
        <v>0.54500000000000004</v>
      </c>
      <c r="I106" s="159" t="s">
        <v>264</v>
      </c>
      <c r="J106" s="223">
        <v>0.54500000000000004</v>
      </c>
      <c r="K106" s="159"/>
      <c r="L106" s="223"/>
      <c r="M106" s="159"/>
      <c r="N106" s="223"/>
      <c r="O106" s="168">
        <f>(34*3.77+12*34.8)/1000</f>
        <v>0.54577999999999993</v>
      </c>
      <c r="P106" s="322">
        <v>0.54457999999999995</v>
      </c>
      <c r="Q106" s="324">
        <f>P106-H106</f>
        <v>-4.2000000000008697E-4</v>
      </c>
      <c r="R106" s="32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  <c r="AC106" s="153"/>
      <c r="AD106" s="153"/>
      <c r="AE106" s="153"/>
      <c r="AF106" s="153"/>
      <c r="AG106" s="153"/>
      <c r="AH106" s="153"/>
      <c r="AI106" s="153"/>
      <c r="AJ106" s="153"/>
      <c r="AK106" s="153"/>
      <c r="AL106" s="153"/>
      <c r="AM106" s="153"/>
      <c r="AN106" s="153"/>
      <c r="AO106" s="153"/>
      <c r="AP106" s="153"/>
      <c r="AQ106" s="153"/>
      <c r="AR106" s="153"/>
      <c r="AS106" s="153"/>
      <c r="AT106" s="153"/>
      <c r="AU106" s="153"/>
      <c r="AV106" s="153"/>
      <c r="AW106" s="153"/>
      <c r="AX106" s="153"/>
      <c r="AY106" s="153"/>
      <c r="AZ106" s="153"/>
      <c r="BA106" s="153"/>
      <c r="BB106" s="153"/>
      <c r="BC106" s="153"/>
      <c r="BD106" s="153"/>
      <c r="BE106" s="153"/>
      <c r="BF106" s="153"/>
      <c r="BG106" s="153"/>
      <c r="BH106" s="153"/>
      <c r="BI106" s="153"/>
      <c r="BJ106" s="153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  <c r="DG106" s="153"/>
      <c r="DH106" s="153"/>
      <c r="DI106" s="153"/>
      <c r="DJ106" s="153"/>
      <c r="DK106" s="153"/>
      <c r="DL106" s="153"/>
      <c r="DM106" s="153"/>
      <c r="DN106" s="153"/>
      <c r="DO106" s="153"/>
      <c r="DP106" s="153"/>
      <c r="DQ106" s="153"/>
      <c r="DR106" s="153"/>
      <c r="DS106" s="153"/>
      <c r="DT106" s="153"/>
      <c r="DU106" s="153"/>
      <c r="DV106" s="153"/>
      <c r="DW106" s="153"/>
      <c r="DX106" s="153"/>
      <c r="DY106" s="153"/>
      <c r="DZ106" s="153"/>
      <c r="EA106" s="153"/>
      <c r="EB106" s="153"/>
      <c r="EC106" s="153"/>
      <c r="ED106" s="153"/>
      <c r="EE106" s="153"/>
      <c r="EF106" s="153"/>
      <c r="EG106" s="153"/>
      <c r="EH106" s="153"/>
      <c r="EI106" s="153"/>
      <c r="EJ106" s="153"/>
      <c r="EK106" s="153"/>
      <c r="EL106" s="153"/>
      <c r="EM106" s="153"/>
      <c r="EN106" s="153"/>
      <c r="EO106" s="153"/>
      <c r="EP106" s="153"/>
      <c r="EQ106" s="153"/>
      <c r="ER106" s="153"/>
      <c r="ES106" s="153"/>
      <c r="ET106" s="153"/>
      <c r="EU106" s="153"/>
      <c r="EV106" s="153"/>
      <c r="EW106" s="153"/>
      <c r="EX106" s="153"/>
      <c r="EY106" s="153"/>
      <c r="EZ106" s="153"/>
      <c r="FA106" s="153"/>
      <c r="FB106" s="153"/>
      <c r="FC106" s="153"/>
      <c r="FD106" s="153"/>
      <c r="FE106" s="153"/>
      <c r="FF106" s="153"/>
      <c r="FG106" s="153"/>
      <c r="FH106" s="153"/>
      <c r="FI106" s="153"/>
      <c r="FJ106" s="153"/>
      <c r="FK106" s="153"/>
      <c r="FL106" s="153"/>
      <c r="FM106" s="153"/>
      <c r="FN106" s="153"/>
      <c r="FO106" s="153"/>
      <c r="FP106" s="153"/>
      <c r="FQ106" s="153"/>
      <c r="FR106" s="153"/>
      <c r="FS106" s="153"/>
      <c r="FT106" s="153"/>
      <c r="FU106" s="153"/>
      <c r="FV106" s="153"/>
      <c r="FW106" s="153"/>
      <c r="FX106" s="153"/>
      <c r="FY106" s="153"/>
      <c r="FZ106" s="153"/>
      <c r="GA106" s="153"/>
      <c r="GB106" s="153"/>
      <c r="GC106" s="153"/>
      <c r="GD106" s="153"/>
      <c r="GE106" s="153"/>
      <c r="GF106" s="153"/>
      <c r="GG106" s="153"/>
      <c r="GH106" s="153"/>
      <c r="GI106" s="153"/>
      <c r="GJ106" s="153"/>
      <c r="GK106" s="153"/>
      <c r="GL106" s="153"/>
      <c r="GM106" s="153"/>
      <c r="GN106" s="153"/>
      <c r="GO106" s="153"/>
      <c r="GP106" s="153"/>
      <c r="GQ106" s="153"/>
      <c r="GR106" s="153"/>
      <c r="GS106" s="153"/>
      <c r="GT106" s="153"/>
      <c r="GU106" s="153"/>
      <c r="GV106" s="153"/>
      <c r="GW106" s="153"/>
      <c r="GX106" s="153"/>
      <c r="GY106" s="153"/>
      <c r="GZ106" s="153"/>
      <c r="HA106" s="153"/>
      <c r="HB106" s="153"/>
      <c r="HC106" s="153"/>
      <c r="HD106" s="153"/>
      <c r="HE106" s="153"/>
      <c r="HF106" s="153"/>
      <c r="HG106" s="153"/>
      <c r="HH106" s="153"/>
      <c r="HI106" s="153"/>
      <c r="HJ106" s="153"/>
      <c r="HK106" s="153"/>
      <c r="HL106" s="153"/>
      <c r="HM106" s="153"/>
      <c r="HN106" s="153"/>
      <c r="HO106" s="153"/>
      <c r="HP106" s="153"/>
      <c r="HQ106" s="153"/>
      <c r="HR106" s="153"/>
      <c r="HS106" s="153"/>
      <c r="HT106" s="153"/>
      <c r="HU106" s="153"/>
      <c r="HV106" s="153"/>
      <c r="HW106" s="153"/>
      <c r="HX106" s="153"/>
      <c r="HY106" s="153"/>
      <c r="HZ106" s="153"/>
      <c r="IA106" s="153"/>
      <c r="IB106" s="153"/>
      <c r="IC106" s="153"/>
      <c r="ID106" s="153"/>
      <c r="IE106" s="153"/>
      <c r="IF106" s="153"/>
      <c r="IG106" s="153"/>
      <c r="IH106" s="153"/>
      <c r="II106" s="153"/>
      <c r="IJ106" s="153"/>
      <c r="IT106" s="190"/>
    </row>
    <row r="107" spans="1:254" s="154" customFormat="1" ht="63">
      <c r="A107" s="115"/>
      <c r="B107" s="207" t="s">
        <v>200</v>
      </c>
      <c r="C107" s="208" t="s">
        <v>375</v>
      </c>
      <c r="D107" s="136" t="s">
        <v>250</v>
      </c>
      <c r="E107" s="223" t="s">
        <v>341</v>
      </c>
      <c r="F107" s="267"/>
      <c r="G107" s="252" t="s">
        <v>557</v>
      </c>
      <c r="H107" s="223" t="s">
        <v>341</v>
      </c>
      <c r="I107" s="252" t="s">
        <v>557</v>
      </c>
      <c r="J107" s="223" t="s">
        <v>341</v>
      </c>
      <c r="K107" s="252"/>
      <c r="L107" s="223"/>
      <c r="M107" s="252"/>
      <c r="N107" s="223"/>
      <c r="O107" s="168">
        <f>1.13*12/1000</f>
        <v>1.3559999999999999E-2</v>
      </c>
      <c r="P107" s="322">
        <f>(1.13+4*0.04)*12/1000</f>
        <v>1.5479999999999997E-2</v>
      </c>
      <c r="Q107" s="322">
        <f>P107-0.014</f>
        <v>1.4799999999999969E-3</v>
      </c>
      <c r="R107" s="32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3"/>
      <c r="BC107" s="153"/>
      <c r="BD107" s="153"/>
      <c r="BE107" s="153"/>
      <c r="BF107" s="153"/>
      <c r="BG107" s="153"/>
      <c r="BH107" s="153"/>
      <c r="BI107" s="153"/>
      <c r="BJ107" s="153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  <c r="DG107" s="153"/>
      <c r="DH107" s="153"/>
      <c r="DI107" s="153"/>
      <c r="DJ107" s="153"/>
      <c r="DK107" s="153"/>
      <c r="DL107" s="153"/>
      <c r="DM107" s="153"/>
      <c r="DN107" s="153"/>
      <c r="DO107" s="153"/>
      <c r="DP107" s="153"/>
      <c r="DQ107" s="153"/>
      <c r="DR107" s="153"/>
      <c r="DS107" s="153"/>
      <c r="DT107" s="153"/>
      <c r="DU107" s="153"/>
      <c r="DV107" s="153"/>
      <c r="DW107" s="153"/>
      <c r="DX107" s="153"/>
      <c r="DY107" s="153"/>
      <c r="DZ107" s="153"/>
      <c r="EA107" s="153"/>
      <c r="EB107" s="153"/>
      <c r="EC107" s="153"/>
      <c r="ED107" s="153"/>
      <c r="EE107" s="153"/>
      <c r="EF107" s="153"/>
      <c r="EG107" s="153"/>
      <c r="EH107" s="153"/>
      <c r="EI107" s="153"/>
      <c r="EJ107" s="153"/>
      <c r="EK107" s="153"/>
      <c r="EL107" s="153"/>
      <c r="EM107" s="153"/>
      <c r="EN107" s="153"/>
      <c r="EO107" s="153"/>
      <c r="EP107" s="153"/>
      <c r="EQ107" s="153"/>
      <c r="ER107" s="153"/>
      <c r="ES107" s="153"/>
      <c r="ET107" s="153"/>
      <c r="EU107" s="153"/>
      <c r="EV107" s="153"/>
      <c r="EW107" s="153"/>
      <c r="EX107" s="153"/>
      <c r="EY107" s="153"/>
      <c r="EZ107" s="153"/>
      <c r="FA107" s="153"/>
      <c r="FB107" s="153"/>
      <c r="FC107" s="153"/>
      <c r="FD107" s="153"/>
      <c r="FE107" s="153"/>
      <c r="FF107" s="153"/>
      <c r="FG107" s="153"/>
      <c r="FH107" s="153"/>
      <c r="FI107" s="153"/>
      <c r="FJ107" s="153"/>
      <c r="FK107" s="153"/>
      <c r="FL107" s="153"/>
      <c r="FM107" s="153"/>
      <c r="FN107" s="153"/>
      <c r="FO107" s="153"/>
      <c r="FP107" s="153"/>
      <c r="FQ107" s="153"/>
      <c r="FR107" s="153"/>
      <c r="FS107" s="153"/>
      <c r="FT107" s="153"/>
      <c r="FU107" s="153"/>
      <c r="FV107" s="153"/>
      <c r="FW107" s="153"/>
      <c r="FX107" s="153"/>
      <c r="FY107" s="153"/>
      <c r="FZ107" s="153"/>
      <c r="GA107" s="153"/>
      <c r="GB107" s="153"/>
      <c r="GC107" s="153"/>
      <c r="GD107" s="153"/>
      <c r="GE107" s="153"/>
      <c r="GF107" s="153"/>
      <c r="GG107" s="153"/>
      <c r="GH107" s="153"/>
      <c r="GI107" s="153"/>
      <c r="GJ107" s="153"/>
      <c r="GK107" s="153"/>
      <c r="GL107" s="153"/>
      <c r="GM107" s="153"/>
      <c r="GN107" s="153"/>
      <c r="GO107" s="153"/>
      <c r="GP107" s="153"/>
      <c r="GQ107" s="153"/>
      <c r="GR107" s="153"/>
      <c r="GS107" s="153"/>
      <c r="GT107" s="153"/>
      <c r="GU107" s="153"/>
      <c r="GV107" s="153"/>
      <c r="GW107" s="153"/>
      <c r="GX107" s="153"/>
      <c r="GY107" s="153"/>
      <c r="GZ107" s="153"/>
      <c r="HA107" s="153"/>
      <c r="HB107" s="153"/>
      <c r="HC107" s="153"/>
      <c r="HD107" s="153"/>
      <c r="HE107" s="153"/>
      <c r="HF107" s="153"/>
      <c r="HG107" s="153"/>
      <c r="HH107" s="153"/>
      <c r="HI107" s="153"/>
      <c r="HJ107" s="153"/>
      <c r="HK107" s="153"/>
      <c r="HL107" s="153"/>
      <c r="HM107" s="153"/>
      <c r="HN107" s="153"/>
      <c r="HO107" s="153"/>
      <c r="HP107" s="153"/>
      <c r="HQ107" s="153"/>
      <c r="HR107" s="153"/>
      <c r="HS107" s="153"/>
      <c r="HT107" s="153"/>
      <c r="HU107" s="153"/>
      <c r="HV107" s="153"/>
      <c r="HW107" s="153"/>
      <c r="HX107" s="153"/>
      <c r="HY107" s="153"/>
      <c r="HZ107" s="153"/>
      <c r="IA107" s="153"/>
      <c r="IB107" s="153"/>
      <c r="IC107" s="153"/>
      <c r="ID107" s="153"/>
      <c r="IE107" s="153"/>
      <c r="IF107" s="153"/>
      <c r="IG107" s="153"/>
      <c r="IH107" s="153"/>
      <c r="II107" s="153"/>
      <c r="IJ107" s="153"/>
      <c r="IT107" s="190"/>
    </row>
    <row r="108" spans="1:254" s="154" customFormat="1" ht="31.5">
      <c r="A108" s="115"/>
      <c r="B108" s="186" t="s">
        <v>201</v>
      </c>
      <c r="C108" s="293" t="s">
        <v>297</v>
      </c>
      <c r="D108" s="136" t="s">
        <v>560</v>
      </c>
      <c r="E108" s="223">
        <v>15.36</v>
      </c>
      <c r="F108" s="267"/>
      <c r="G108" s="159" t="s">
        <v>264</v>
      </c>
      <c r="H108" s="223">
        <v>15.36</v>
      </c>
      <c r="I108" s="159" t="s">
        <v>264</v>
      </c>
      <c r="J108" s="223">
        <v>15.36</v>
      </c>
      <c r="K108" s="159"/>
      <c r="L108" s="223"/>
      <c r="M108" s="159"/>
      <c r="N108" s="223"/>
      <c r="O108" s="168"/>
      <c r="P108" s="322">
        <v>9.98</v>
      </c>
      <c r="Q108" s="324">
        <f>P108-L108</f>
        <v>9.98</v>
      </c>
      <c r="R108" s="323">
        <v>15.36</v>
      </c>
      <c r="S108" s="343">
        <f>R108-H108</f>
        <v>0</v>
      </c>
      <c r="T108" s="153"/>
      <c r="U108" s="153"/>
      <c r="V108" s="153"/>
      <c r="W108" s="153"/>
      <c r="X108" s="153"/>
      <c r="Y108" s="153"/>
      <c r="Z108" s="153"/>
      <c r="AA108" s="153"/>
      <c r="AB108" s="153"/>
      <c r="AC108" s="153"/>
      <c r="AD108" s="153"/>
      <c r="AE108" s="153"/>
      <c r="AF108" s="153"/>
      <c r="AG108" s="153"/>
      <c r="AH108" s="153"/>
      <c r="AI108" s="153"/>
      <c r="AJ108" s="153"/>
      <c r="AK108" s="153"/>
      <c r="AL108" s="153"/>
      <c r="AM108" s="153"/>
      <c r="AN108" s="153"/>
      <c r="AO108" s="153"/>
      <c r="AP108" s="153"/>
      <c r="AQ108" s="153"/>
      <c r="AR108" s="153"/>
      <c r="AS108" s="153"/>
      <c r="AT108" s="153"/>
      <c r="AU108" s="153"/>
      <c r="AV108" s="153"/>
      <c r="AW108" s="153"/>
      <c r="AX108" s="153"/>
      <c r="AY108" s="153"/>
      <c r="AZ108" s="153"/>
      <c r="BA108" s="153"/>
      <c r="BB108" s="153"/>
      <c r="BC108" s="153"/>
      <c r="BD108" s="153"/>
      <c r="BE108" s="153"/>
      <c r="BF108" s="153"/>
      <c r="BG108" s="153"/>
      <c r="BH108" s="153"/>
      <c r="BI108" s="153"/>
      <c r="BJ108" s="153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  <c r="DG108" s="153"/>
      <c r="DH108" s="153"/>
      <c r="DI108" s="153"/>
      <c r="DJ108" s="153"/>
      <c r="DK108" s="153"/>
      <c r="DL108" s="153"/>
      <c r="DM108" s="153"/>
      <c r="DN108" s="153"/>
      <c r="DO108" s="153"/>
      <c r="DP108" s="153"/>
      <c r="DQ108" s="153"/>
      <c r="DR108" s="153"/>
      <c r="DS108" s="153"/>
      <c r="DT108" s="153"/>
      <c r="DU108" s="153"/>
      <c r="DV108" s="153"/>
      <c r="DW108" s="153"/>
      <c r="DX108" s="153"/>
      <c r="DY108" s="153"/>
      <c r="DZ108" s="153"/>
      <c r="EA108" s="153"/>
      <c r="EB108" s="153"/>
      <c r="EC108" s="153"/>
      <c r="ED108" s="153"/>
      <c r="EE108" s="153"/>
      <c r="EF108" s="153"/>
      <c r="EG108" s="153"/>
      <c r="EH108" s="153"/>
      <c r="EI108" s="153"/>
      <c r="EJ108" s="153"/>
      <c r="EK108" s="153"/>
      <c r="EL108" s="153"/>
      <c r="EM108" s="153"/>
      <c r="EN108" s="153"/>
      <c r="EO108" s="153"/>
      <c r="EP108" s="153"/>
      <c r="EQ108" s="153"/>
      <c r="ER108" s="153"/>
      <c r="ES108" s="153"/>
      <c r="ET108" s="153"/>
      <c r="EU108" s="153"/>
      <c r="EV108" s="153"/>
      <c r="EW108" s="153"/>
      <c r="EX108" s="153"/>
      <c r="EY108" s="153"/>
      <c r="EZ108" s="153"/>
      <c r="FA108" s="153"/>
      <c r="FB108" s="153"/>
      <c r="FC108" s="153"/>
      <c r="FD108" s="153"/>
      <c r="FE108" s="153"/>
      <c r="FF108" s="153"/>
      <c r="FG108" s="153"/>
      <c r="FH108" s="153"/>
      <c r="FI108" s="153"/>
      <c r="FJ108" s="153"/>
      <c r="FK108" s="153"/>
      <c r="FL108" s="153"/>
      <c r="FM108" s="153"/>
      <c r="FN108" s="153"/>
      <c r="FO108" s="153"/>
      <c r="FP108" s="153"/>
      <c r="FQ108" s="153"/>
      <c r="FR108" s="153"/>
      <c r="FS108" s="153"/>
      <c r="FT108" s="153"/>
      <c r="FU108" s="153"/>
      <c r="FV108" s="153"/>
      <c r="FW108" s="153"/>
      <c r="FX108" s="153"/>
      <c r="FY108" s="153"/>
      <c r="FZ108" s="153"/>
      <c r="GA108" s="153"/>
      <c r="GB108" s="153"/>
      <c r="GC108" s="153"/>
      <c r="GD108" s="153"/>
      <c r="GE108" s="153"/>
      <c r="GF108" s="153"/>
      <c r="GG108" s="153"/>
      <c r="GH108" s="153"/>
      <c r="GI108" s="153"/>
      <c r="GJ108" s="153"/>
      <c r="GK108" s="153"/>
      <c r="GL108" s="153"/>
      <c r="GM108" s="153"/>
      <c r="GN108" s="153"/>
      <c r="GO108" s="153"/>
      <c r="GP108" s="153"/>
      <c r="GQ108" s="153"/>
      <c r="GR108" s="153"/>
      <c r="GS108" s="153"/>
      <c r="GT108" s="153"/>
      <c r="GU108" s="153"/>
      <c r="GV108" s="153"/>
      <c r="GW108" s="153"/>
      <c r="GX108" s="153"/>
      <c r="GY108" s="153"/>
      <c r="GZ108" s="153"/>
      <c r="HA108" s="153"/>
      <c r="HB108" s="153"/>
      <c r="HC108" s="153"/>
      <c r="HD108" s="153"/>
      <c r="HE108" s="153"/>
      <c r="HF108" s="153"/>
      <c r="HG108" s="153"/>
      <c r="HH108" s="153"/>
      <c r="HI108" s="153"/>
      <c r="HJ108" s="153"/>
      <c r="HK108" s="153"/>
      <c r="HL108" s="153"/>
      <c r="HM108" s="153"/>
      <c r="HN108" s="153"/>
      <c r="HO108" s="153"/>
      <c r="HP108" s="153"/>
      <c r="HQ108" s="153"/>
      <c r="HR108" s="153"/>
      <c r="HS108" s="153"/>
      <c r="HT108" s="153"/>
      <c r="HU108" s="153"/>
      <c r="HV108" s="153"/>
      <c r="HW108" s="153"/>
      <c r="HX108" s="153"/>
      <c r="HY108" s="153"/>
      <c r="HZ108" s="153"/>
      <c r="IA108" s="153"/>
      <c r="IB108" s="153"/>
      <c r="IC108" s="153"/>
      <c r="ID108" s="153"/>
      <c r="IE108" s="153"/>
      <c r="IF108" s="153"/>
      <c r="IG108" s="153"/>
      <c r="IH108" s="153"/>
      <c r="II108" s="153"/>
      <c r="IJ108" s="153"/>
    </row>
    <row r="109" spans="1:254" s="154" customFormat="1" ht="47.25">
      <c r="A109" s="115"/>
      <c r="B109" s="207" t="s">
        <v>202</v>
      </c>
      <c r="C109" s="303" t="s">
        <v>551</v>
      </c>
      <c r="D109" s="188" t="s">
        <v>564</v>
      </c>
      <c r="E109" s="231" t="s">
        <v>552</v>
      </c>
      <c r="F109" s="228"/>
      <c r="G109" s="566" t="s">
        <v>557</v>
      </c>
      <c r="H109" s="231" t="s">
        <v>552</v>
      </c>
      <c r="I109" s="566" t="s">
        <v>557</v>
      </c>
      <c r="J109" s="231" t="s">
        <v>552</v>
      </c>
      <c r="K109" s="215"/>
      <c r="L109" s="231"/>
      <c r="M109" s="566"/>
      <c r="N109" s="231"/>
      <c r="O109" s="168">
        <f>4.9*2.4*0.05</f>
        <v>0.58799999999999997</v>
      </c>
      <c r="P109" s="261" t="e">
        <f>E109-O109</f>
        <v>#VALUE!</v>
      </c>
      <c r="Q109" s="322">
        <f>5.2*2*0.05-0.15*0.15*0.05*4</f>
        <v>0.51550000000000007</v>
      </c>
      <c r="R109" s="325">
        <f>Q109-L109</f>
        <v>0.51550000000000007</v>
      </c>
      <c r="S109" s="153">
        <v>0.62</v>
      </c>
      <c r="T109" s="343" t="e">
        <f>S109-H109</f>
        <v>#VALUE!</v>
      </c>
      <c r="U109" s="153">
        <f>L109*2100</f>
        <v>0</v>
      </c>
      <c r="V109" s="153"/>
      <c r="W109" s="153"/>
      <c r="X109" s="153"/>
      <c r="Y109" s="153"/>
      <c r="Z109" s="153"/>
      <c r="AA109" s="153"/>
      <c r="AB109" s="153"/>
      <c r="AC109" s="153"/>
      <c r="AD109" s="153"/>
      <c r="AE109" s="153"/>
      <c r="AF109" s="153"/>
      <c r="AG109" s="153"/>
      <c r="AH109" s="153"/>
      <c r="AI109" s="153"/>
      <c r="AJ109" s="153"/>
      <c r="AK109" s="153"/>
      <c r="AL109" s="153"/>
      <c r="AM109" s="153"/>
      <c r="AN109" s="153"/>
      <c r="AO109" s="153"/>
      <c r="AP109" s="153"/>
      <c r="AQ109" s="153"/>
      <c r="AR109" s="153"/>
      <c r="AS109" s="153"/>
      <c r="AT109" s="153"/>
      <c r="AU109" s="153"/>
      <c r="AV109" s="153"/>
      <c r="AW109" s="153"/>
      <c r="AX109" s="153"/>
      <c r="AY109" s="153"/>
      <c r="AZ109" s="153"/>
      <c r="BA109" s="153"/>
      <c r="BB109" s="153"/>
      <c r="BC109" s="153"/>
      <c r="BD109" s="153"/>
      <c r="BE109" s="153"/>
      <c r="BF109" s="153"/>
      <c r="BG109" s="153"/>
      <c r="BH109" s="153"/>
      <c r="BI109" s="153"/>
      <c r="BJ109" s="153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  <c r="DG109" s="153"/>
      <c r="DH109" s="153"/>
      <c r="DI109" s="153"/>
      <c r="DJ109" s="153"/>
      <c r="DK109" s="153"/>
      <c r="DL109" s="153"/>
      <c r="DM109" s="153"/>
      <c r="DN109" s="153"/>
      <c r="DO109" s="153"/>
      <c r="DP109" s="153"/>
      <c r="DQ109" s="153"/>
      <c r="DR109" s="153"/>
      <c r="DS109" s="153"/>
      <c r="DT109" s="153"/>
      <c r="DU109" s="153"/>
      <c r="DV109" s="153"/>
      <c r="DW109" s="153"/>
      <c r="DX109" s="153"/>
      <c r="DY109" s="153"/>
      <c r="DZ109" s="153"/>
      <c r="EA109" s="153"/>
      <c r="EB109" s="153"/>
      <c r="EC109" s="153"/>
      <c r="ED109" s="153"/>
      <c r="EE109" s="153"/>
      <c r="EF109" s="153"/>
      <c r="EG109" s="153"/>
      <c r="EH109" s="153"/>
      <c r="EI109" s="153"/>
      <c r="EJ109" s="153"/>
      <c r="EK109" s="153"/>
      <c r="EL109" s="153"/>
      <c r="EM109" s="153"/>
      <c r="EN109" s="153"/>
      <c r="EO109" s="153"/>
      <c r="EP109" s="153"/>
      <c r="EQ109" s="153"/>
      <c r="ER109" s="153"/>
      <c r="ES109" s="153"/>
      <c r="ET109" s="153"/>
      <c r="EU109" s="153"/>
      <c r="EV109" s="153"/>
      <c r="EW109" s="153"/>
      <c r="EX109" s="153"/>
      <c r="EY109" s="153"/>
      <c r="EZ109" s="153"/>
      <c r="FA109" s="153"/>
      <c r="FB109" s="153"/>
      <c r="FC109" s="153"/>
      <c r="FD109" s="153"/>
      <c r="FE109" s="153"/>
      <c r="FF109" s="153"/>
      <c r="FG109" s="153"/>
      <c r="FH109" s="153"/>
      <c r="FI109" s="153"/>
      <c r="FJ109" s="153"/>
      <c r="FK109" s="153"/>
      <c r="FL109" s="153"/>
      <c r="FM109" s="153"/>
      <c r="FN109" s="153"/>
      <c r="FO109" s="153"/>
      <c r="FP109" s="153"/>
      <c r="FQ109" s="153"/>
      <c r="FR109" s="153"/>
      <c r="FS109" s="153"/>
      <c r="FT109" s="153"/>
      <c r="FU109" s="153"/>
      <c r="FV109" s="153"/>
      <c r="FW109" s="153"/>
      <c r="FX109" s="153"/>
      <c r="FY109" s="153"/>
      <c r="FZ109" s="153"/>
      <c r="GA109" s="153"/>
      <c r="GB109" s="153"/>
      <c r="GC109" s="153"/>
      <c r="GD109" s="153"/>
      <c r="GE109" s="153"/>
      <c r="GF109" s="153"/>
      <c r="GG109" s="153"/>
      <c r="GH109" s="153"/>
      <c r="GI109" s="153"/>
      <c r="GJ109" s="153"/>
      <c r="GK109" s="153"/>
      <c r="GL109" s="153"/>
      <c r="GM109" s="153"/>
      <c r="GN109" s="153"/>
      <c r="GO109" s="153"/>
      <c r="GP109" s="153"/>
      <c r="GQ109" s="153"/>
      <c r="GR109" s="153"/>
      <c r="GS109" s="153"/>
      <c r="GT109" s="153"/>
      <c r="GU109" s="153"/>
      <c r="GV109" s="153"/>
      <c r="GW109" s="153"/>
      <c r="GX109" s="153"/>
      <c r="GY109" s="153"/>
      <c r="GZ109" s="153"/>
      <c r="HA109" s="153"/>
      <c r="HB109" s="153"/>
      <c r="HC109" s="153"/>
      <c r="HD109" s="153"/>
      <c r="HE109" s="153"/>
      <c r="HF109" s="153"/>
      <c r="HG109" s="153"/>
      <c r="HH109" s="153"/>
      <c r="HI109" s="153"/>
      <c r="HJ109" s="153"/>
      <c r="HK109" s="153"/>
      <c r="HL109" s="153"/>
      <c r="HM109" s="153"/>
      <c r="HN109" s="153"/>
      <c r="HO109" s="153"/>
      <c r="HP109" s="153"/>
      <c r="HQ109" s="153"/>
      <c r="HR109" s="153"/>
      <c r="HS109" s="153"/>
      <c r="HT109" s="153"/>
      <c r="HU109" s="153"/>
      <c r="HV109" s="153"/>
      <c r="HW109" s="153"/>
      <c r="HX109" s="153"/>
      <c r="HY109" s="153"/>
      <c r="HZ109" s="153"/>
      <c r="IA109" s="153"/>
      <c r="IB109" s="153"/>
      <c r="IC109" s="153"/>
      <c r="ID109" s="153"/>
      <c r="IE109" s="153"/>
      <c r="IF109" s="153"/>
      <c r="IG109" s="153"/>
      <c r="IH109" s="153"/>
      <c r="II109" s="153"/>
      <c r="IJ109" s="153"/>
    </row>
    <row r="110" spans="1:254" s="154" customFormat="1" ht="31.5">
      <c r="A110" s="115"/>
      <c r="B110" s="185" t="s">
        <v>266</v>
      </c>
      <c r="C110" s="303" t="s">
        <v>296</v>
      </c>
      <c r="D110" s="188" t="s">
        <v>560</v>
      </c>
      <c r="E110" s="231">
        <v>3</v>
      </c>
      <c r="F110" s="228"/>
      <c r="G110" s="215" t="s">
        <v>264</v>
      </c>
      <c r="H110" s="231">
        <v>3</v>
      </c>
      <c r="I110" s="215" t="s">
        <v>264</v>
      </c>
      <c r="J110" s="231">
        <v>3</v>
      </c>
      <c r="K110" s="215"/>
      <c r="L110" s="231"/>
      <c r="M110" s="215"/>
      <c r="N110" s="231"/>
      <c r="O110" s="168">
        <f>4.9*2.4*0.3-O109</f>
        <v>2.94</v>
      </c>
      <c r="P110" s="168">
        <v>3</v>
      </c>
      <c r="Q110" s="261">
        <f>P110-H110</f>
        <v>0</v>
      </c>
      <c r="R110" s="169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  <c r="AW110" s="153"/>
      <c r="AX110" s="153"/>
      <c r="AY110" s="153"/>
      <c r="AZ110" s="153"/>
      <c r="BA110" s="153"/>
      <c r="BB110" s="153"/>
      <c r="BC110" s="153"/>
      <c r="BD110" s="153"/>
      <c r="BE110" s="153"/>
      <c r="BF110" s="153"/>
      <c r="BG110" s="153"/>
      <c r="BH110" s="153"/>
      <c r="BI110" s="153"/>
      <c r="BJ110" s="153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  <c r="DG110" s="153"/>
      <c r="DH110" s="153"/>
      <c r="DI110" s="153"/>
      <c r="DJ110" s="153"/>
      <c r="DK110" s="153"/>
      <c r="DL110" s="153"/>
      <c r="DM110" s="153"/>
      <c r="DN110" s="153"/>
      <c r="DO110" s="153"/>
      <c r="DP110" s="153"/>
      <c r="DQ110" s="153"/>
      <c r="DR110" s="153"/>
      <c r="DS110" s="153"/>
      <c r="DT110" s="153"/>
      <c r="DU110" s="153"/>
      <c r="DV110" s="153"/>
      <c r="DW110" s="153"/>
      <c r="DX110" s="153"/>
      <c r="DY110" s="153"/>
      <c r="DZ110" s="153"/>
      <c r="EA110" s="153"/>
      <c r="EB110" s="153"/>
      <c r="EC110" s="153"/>
      <c r="ED110" s="153"/>
      <c r="EE110" s="153"/>
      <c r="EF110" s="153"/>
      <c r="EG110" s="153"/>
      <c r="EH110" s="153"/>
      <c r="EI110" s="153"/>
      <c r="EJ110" s="153"/>
      <c r="EK110" s="153"/>
      <c r="EL110" s="153"/>
      <c r="EM110" s="153"/>
      <c r="EN110" s="153"/>
      <c r="EO110" s="153"/>
      <c r="EP110" s="153"/>
      <c r="EQ110" s="153"/>
      <c r="ER110" s="153"/>
      <c r="ES110" s="153"/>
      <c r="ET110" s="153"/>
      <c r="EU110" s="153"/>
      <c r="EV110" s="153"/>
      <c r="EW110" s="153"/>
      <c r="EX110" s="153"/>
      <c r="EY110" s="153"/>
      <c r="EZ110" s="153"/>
      <c r="FA110" s="153"/>
      <c r="FB110" s="153"/>
      <c r="FC110" s="153"/>
      <c r="FD110" s="153"/>
      <c r="FE110" s="153"/>
      <c r="FF110" s="153"/>
      <c r="FG110" s="153"/>
      <c r="FH110" s="153"/>
      <c r="FI110" s="153"/>
      <c r="FJ110" s="153"/>
      <c r="FK110" s="153"/>
      <c r="FL110" s="153"/>
      <c r="FM110" s="153"/>
      <c r="FN110" s="153"/>
      <c r="FO110" s="153"/>
      <c r="FP110" s="153"/>
      <c r="FQ110" s="153"/>
      <c r="FR110" s="153"/>
      <c r="FS110" s="153"/>
      <c r="FT110" s="153"/>
      <c r="FU110" s="153"/>
      <c r="FV110" s="153"/>
      <c r="FW110" s="153"/>
      <c r="FX110" s="153"/>
      <c r="FY110" s="153"/>
      <c r="FZ110" s="153"/>
      <c r="GA110" s="153"/>
      <c r="GB110" s="153"/>
      <c r="GC110" s="153"/>
      <c r="GD110" s="153"/>
      <c r="GE110" s="153"/>
      <c r="GF110" s="153"/>
      <c r="GG110" s="153"/>
      <c r="GH110" s="153"/>
      <c r="GI110" s="153"/>
      <c r="GJ110" s="153"/>
      <c r="GK110" s="153"/>
      <c r="GL110" s="153"/>
      <c r="GM110" s="153"/>
      <c r="GN110" s="153"/>
      <c r="GO110" s="153"/>
      <c r="GP110" s="153"/>
      <c r="GQ110" s="153"/>
      <c r="GR110" s="153"/>
      <c r="GS110" s="153"/>
      <c r="GT110" s="153"/>
      <c r="GU110" s="153"/>
      <c r="GV110" s="153"/>
      <c r="GW110" s="153"/>
      <c r="GX110" s="153"/>
      <c r="GY110" s="153"/>
      <c r="GZ110" s="153"/>
      <c r="HA110" s="153"/>
      <c r="HB110" s="153"/>
      <c r="HC110" s="153"/>
      <c r="HD110" s="153"/>
      <c r="HE110" s="153"/>
      <c r="HF110" s="153"/>
      <c r="HG110" s="153"/>
      <c r="HH110" s="153"/>
      <c r="HI110" s="153"/>
      <c r="HJ110" s="153"/>
      <c r="HK110" s="153"/>
      <c r="HL110" s="153"/>
      <c r="HM110" s="153"/>
      <c r="HN110" s="153"/>
      <c r="HO110" s="153"/>
      <c r="HP110" s="153"/>
      <c r="HQ110" s="153"/>
      <c r="HR110" s="153"/>
      <c r="HS110" s="153"/>
      <c r="HT110" s="153"/>
      <c r="HU110" s="153"/>
      <c r="HV110" s="153"/>
      <c r="HW110" s="153"/>
      <c r="HX110" s="153"/>
      <c r="HY110" s="153"/>
      <c r="HZ110" s="153"/>
      <c r="IA110" s="153"/>
      <c r="IB110" s="153"/>
      <c r="IC110" s="153"/>
      <c r="ID110" s="153"/>
      <c r="IE110" s="153"/>
      <c r="IF110" s="153"/>
      <c r="IG110" s="153"/>
      <c r="IH110" s="153"/>
      <c r="II110" s="153"/>
      <c r="IJ110" s="153"/>
    </row>
    <row r="111" spans="1:254" s="154" customFormat="1" ht="31.5">
      <c r="A111" s="115"/>
      <c r="B111" s="207" t="s">
        <v>203</v>
      </c>
      <c r="C111" s="304" t="s">
        <v>251</v>
      </c>
      <c r="D111" s="137" t="s">
        <v>565</v>
      </c>
      <c r="E111" s="230">
        <v>16.863</v>
      </c>
      <c r="F111" s="225"/>
      <c r="G111" s="138" t="s">
        <v>264</v>
      </c>
      <c r="H111" s="230">
        <v>16.863</v>
      </c>
      <c r="I111" s="138" t="s">
        <v>264</v>
      </c>
      <c r="J111" s="230">
        <v>16.863</v>
      </c>
      <c r="K111" s="138"/>
      <c r="L111" s="230"/>
      <c r="M111" s="138"/>
      <c r="N111" s="230"/>
      <c r="O111" s="168">
        <f>2*2.4*1.45+2*5.2*1.45+2.4*5.2</f>
        <v>34.519999999999996</v>
      </c>
      <c r="P111" s="168">
        <f>1.05*5.2*2+2.4*1.05*2</f>
        <v>15.96</v>
      </c>
      <c r="Q111" s="261">
        <f>E111-P111</f>
        <v>0.90299999999999869</v>
      </c>
      <c r="R111" s="322">
        <f>1.05*5.2*2+2*1.05*2</f>
        <v>15.120000000000001</v>
      </c>
      <c r="S111" s="327">
        <f>R111-L111</f>
        <v>15.120000000000001</v>
      </c>
      <c r="T111" s="153">
        <f>2.4*1.1*2+5.265*1.1*2</f>
        <v>16.863</v>
      </c>
      <c r="U111" s="343">
        <f>T111-H111</f>
        <v>0</v>
      </c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  <c r="AW111" s="153"/>
      <c r="AX111" s="153"/>
      <c r="AY111" s="153"/>
      <c r="AZ111" s="153"/>
      <c r="BA111" s="153"/>
      <c r="BB111" s="153"/>
      <c r="BC111" s="153"/>
      <c r="BD111" s="153"/>
      <c r="BE111" s="153"/>
      <c r="BF111" s="153"/>
      <c r="BG111" s="153"/>
      <c r="BH111" s="153"/>
      <c r="BI111" s="153"/>
      <c r="BJ111" s="153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  <c r="DG111" s="153"/>
      <c r="DH111" s="153"/>
      <c r="DI111" s="153"/>
      <c r="DJ111" s="153"/>
      <c r="DK111" s="153"/>
      <c r="DL111" s="153"/>
      <c r="DM111" s="153"/>
      <c r="DN111" s="153"/>
      <c r="DO111" s="153"/>
      <c r="DP111" s="153"/>
      <c r="DQ111" s="153"/>
      <c r="DR111" s="153"/>
      <c r="DS111" s="153"/>
      <c r="DT111" s="153"/>
      <c r="DU111" s="153"/>
      <c r="DV111" s="153"/>
      <c r="DW111" s="153"/>
      <c r="DX111" s="153"/>
      <c r="DY111" s="153"/>
      <c r="DZ111" s="153"/>
      <c r="EA111" s="153"/>
      <c r="EB111" s="153"/>
      <c r="EC111" s="153"/>
      <c r="ED111" s="153"/>
      <c r="EE111" s="153"/>
      <c r="EF111" s="153"/>
      <c r="EG111" s="153"/>
      <c r="EH111" s="153"/>
      <c r="EI111" s="153"/>
      <c r="EJ111" s="153"/>
      <c r="EK111" s="153"/>
      <c r="EL111" s="153"/>
      <c r="EM111" s="153"/>
      <c r="EN111" s="153"/>
      <c r="EO111" s="153"/>
      <c r="EP111" s="153"/>
      <c r="EQ111" s="153"/>
      <c r="ER111" s="153"/>
      <c r="ES111" s="153"/>
      <c r="ET111" s="153"/>
      <c r="EU111" s="153"/>
      <c r="EV111" s="153"/>
      <c r="EW111" s="153"/>
      <c r="EX111" s="153"/>
      <c r="EY111" s="153"/>
      <c r="EZ111" s="153"/>
      <c r="FA111" s="153"/>
      <c r="FB111" s="153"/>
      <c r="FC111" s="153"/>
      <c r="FD111" s="153"/>
      <c r="FE111" s="153"/>
      <c r="FF111" s="153"/>
      <c r="FG111" s="153"/>
      <c r="FH111" s="153"/>
      <c r="FI111" s="153"/>
      <c r="FJ111" s="153"/>
      <c r="FK111" s="153"/>
      <c r="FL111" s="153"/>
      <c r="FM111" s="153"/>
      <c r="FN111" s="153"/>
      <c r="FO111" s="153"/>
      <c r="FP111" s="153"/>
      <c r="FQ111" s="153"/>
      <c r="FR111" s="153"/>
      <c r="FS111" s="153"/>
      <c r="FT111" s="153"/>
      <c r="FU111" s="153"/>
      <c r="FV111" s="153"/>
      <c r="FW111" s="153"/>
      <c r="FX111" s="153"/>
      <c r="FY111" s="153"/>
      <c r="FZ111" s="153"/>
      <c r="GA111" s="153"/>
      <c r="GB111" s="153"/>
      <c r="GC111" s="153"/>
      <c r="GD111" s="153"/>
      <c r="GE111" s="153"/>
      <c r="GF111" s="153"/>
      <c r="GG111" s="153"/>
      <c r="GH111" s="153"/>
      <c r="GI111" s="153"/>
      <c r="GJ111" s="153"/>
      <c r="GK111" s="153"/>
      <c r="GL111" s="153"/>
      <c r="GM111" s="153"/>
      <c r="GN111" s="153"/>
      <c r="GO111" s="153"/>
      <c r="GP111" s="153"/>
      <c r="GQ111" s="153"/>
      <c r="GR111" s="153"/>
      <c r="GS111" s="153"/>
      <c r="GT111" s="153"/>
      <c r="GU111" s="153"/>
      <c r="GV111" s="153"/>
      <c r="GW111" s="153"/>
      <c r="GX111" s="153"/>
      <c r="GY111" s="153"/>
      <c r="GZ111" s="153"/>
      <c r="HA111" s="153"/>
      <c r="HB111" s="153"/>
      <c r="HC111" s="153"/>
      <c r="HD111" s="153"/>
      <c r="HE111" s="153"/>
      <c r="HF111" s="153"/>
      <c r="HG111" s="153"/>
      <c r="HH111" s="153"/>
      <c r="HI111" s="153"/>
      <c r="HJ111" s="153"/>
      <c r="HK111" s="153"/>
      <c r="HL111" s="153"/>
      <c r="HM111" s="153"/>
      <c r="HN111" s="153"/>
      <c r="HO111" s="153"/>
      <c r="HP111" s="153"/>
      <c r="HQ111" s="153"/>
      <c r="HR111" s="153"/>
      <c r="HS111" s="153"/>
      <c r="HT111" s="153"/>
      <c r="HU111" s="153"/>
      <c r="HV111" s="153"/>
      <c r="HW111" s="153"/>
      <c r="HX111" s="153"/>
      <c r="HY111" s="153"/>
      <c r="HZ111" s="153"/>
      <c r="IA111" s="153"/>
      <c r="IB111" s="153"/>
      <c r="IC111" s="153"/>
      <c r="ID111" s="153"/>
      <c r="IE111" s="153"/>
      <c r="IF111" s="153"/>
      <c r="IG111" s="153"/>
      <c r="IH111" s="153"/>
      <c r="II111" s="153"/>
      <c r="IJ111" s="153"/>
      <c r="IT111" s="190"/>
    </row>
    <row r="112" spans="1:254" s="154" customFormat="1" ht="63">
      <c r="A112" s="115"/>
      <c r="B112" s="186" t="s">
        <v>204</v>
      </c>
      <c r="C112" s="292" t="s">
        <v>252</v>
      </c>
      <c r="D112" s="185" t="s">
        <v>253</v>
      </c>
      <c r="E112" s="256">
        <v>0</v>
      </c>
      <c r="F112" s="156"/>
      <c r="G112" s="256" t="s">
        <v>264</v>
      </c>
      <c r="H112" s="256">
        <v>0</v>
      </c>
      <c r="I112" s="256" t="s">
        <v>264</v>
      </c>
      <c r="J112" s="256">
        <v>0</v>
      </c>
      <c r="K112" s="149"/>
      <c r="L112" s="256"/>
      <c r="M112" s="149"/>
      <c r="N112" s="256"/>
      <c r="O112" s="170">
        <f>2*(2.4+5.2)</f>
        <v>15.2</v>
      </c>
      <c r="P112" s="171">
        <f>O112*P81</f>
        <v>4.9248E-2</v>
      </c>
      <c r="Q112" s="326"/>
      <c r="R112" s="169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3"/>
      <c r="AJ112" s="153"/>
      <c r="AK112" s="153"/>
      <c r="AL112" s="153"/>
      <c r="AM112" s="153"/>
      <c r="AN112" s="153"/>
      <c r="AO112" s="153"/>
      <c r="AP112" s="153"/>
      <c r="AQ112" s="153"/>
      <c r="AR112" s="153"/>
      <c r="AS112" s="153"/>
      <c r="AT112" s="153"/>
      <c r="AU112" s="153"/>
      <c r="AV112" s="153"/>
      <c r="AW112" s="153"/>
      <c r="AX112" s="153"/>
      <c r="AY112" s="153"/>
      <c r="AZ112" s="153"/>
      <c r="BA112" s="153"/>
      <c r="BB112" s="153"/>
      <c r="BC112" s="153"/>
      <c r="BD112" s="153"/>
      <c r="BE112" s="153"/>
      <c r="BF112" s="153"/>
      <c r="BG112" s="153"/>
      <c r="BH112" s="153"/>
      <c r="BI112" s="153"/>
      <c r="BJ112" s="153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  <c r="DG112" s="153"/>
      <c r="DH112" s="153"/>
      <c r="DI112" s="153"/>
      <c r="DJ112" s="153"/>
      <c r="DK112" s="153"/>
      <c r="DL112" s="153"/>
      <c r="DM112" s="153"/>
      <c r="DN112" s="153"/>
      <c r="DO112" s="153"/>
      <c r="DP112" s="153"/>
      <c r="DQ112" s="153"/>
      <c r="DR112" s="153"/>
      <c r="DS112" s="153"/>
      <c r="DT112" s="153"/>
      <c r="DU112" s="153"/>
      <c r="DV112" s="153"/>
      <c r="DW112" s="153"/>
      <c r="DX112" s="153"/>
      <c r="DY112" s="153"/>
      <c r="DZ112" s="153"/>
      <c r="EA112" s="153"/>
      <c r="EB112" s="153"/>
      <c r="EC112" s="153"/>
      <c r="ED112" s="153"/>
      <c r="EE112" s="153"/>
      <c r="EF112" s="153"/>
      <c r="EG112" s="153"/>
      <c r="EH112" s="153"/>
      <c r="EI112" s="153"/>
      <c r="EJ112" s="153"/>
      <c r="EK112" s="153"/>
      <c r="EL112" s="153"/>
      <c r="EM112" s="153"/>
      <c r="EN112" s="153"/>
      <c r="EO112" s="153"/>
      <c r="EP112" s="153"/>
      <c r="EQ112" s="153"/>
      <c r="ER112" s="153"/>
      <c r="ES112" s="153"/>
      <c r="ET112" s="153"/>
      <c r="EU112" s="153"/>
      <c r="EV112" s="153"/>
      <c r="EW112" s="153"/>
      <c r="EX112" s="153"/>
      <c r="EY112" s="153"/>
      <c r="EZ112" s="153"/>
      <c r="FA112" s="153"/>
      <c r="FB112" s="153"/>
      <c r="FC112" s="153"/>
      <c r="FD112" s="153"/>
      <c r="FE112" s="153"/>
      <c r="FF112" s="153"/>
      <c r="FG112" s="153"/>
      <c r="FH112" s="153"/>
      <c r="FI112" s="153"/>
      <c r="FJ112" s="153"/>
      <c r="FK112" s="153"/>
      <c r="FL112" s="153"/>
      <c r="FM112" s="153"/>
      <c r="FN112" s="153"/>
      <c r="FO112" s="153"/>
      <c r="FP112" s="153"/>
      <c r="FQ112" s="153"/>
      <c r="FR112" s="153"/>
      <c r="FS112" s="153"/>
      <c r="FT112" s="153"/>
      <c r="FU112" s="153"/>
      <c r="FV112" s="153"/>
      <c r="FW112" s="153"/>
      <c r="FX112" s="153"/>
      <c r="FY112" s="153"/>
      <c r="FZ112" s="153"/>
      <c r="GA112" s="153"/>
      <c r="GB112" s="153"/>
      <c r="GC112" s="153"/>
      <c r="GD112" s="153"/>
      <c r="GE112" s="153"/>
      <c r="GF112" s="153"/>
      <c r="GG112" s="153"/>
      <c r="GH112" s="153"/>
      <c r="GI112" s="153"/>
      <c r="GJ112" s="153"/>
      <c r="GK112" s="153"/>
      <c r="GL112" s="153"/>
      <c r="GM112" s="153"/>
      <c r="GN112" s="153"/>
      <c r="GO112" s="153"/>
      <c r="GP112" s="153"/>
      <c r="GQ112" s="153"/>
      <c r="GR112" s="153"/>
      <c r="GS112" s="153"/>
      <c r="GT112" s="153"/>
      <c r="GU112" s="153"/>
      <c r="GV112" s="153"/>
      <c r="GW112" s="153"/>
      <c r="GX112" s="153"/>
      <c r="GY112" s="153"/>
      <c r="GZ112" s="153"/>
      <c r="HA112" s="153"/>
      <c r="HB112" s="153"/>
      <c r="HC112" s="153"/>
      <c r="HD112" s="153"/>
      <c r="HE112" s="153"/>
      <c r="HF112" s="153"/>
      <c r="HG112" s="153"/>
      <c r="HH112" s="153"/>
      <c r="HI112" s="153"/>
      <c r="HJ112" s="153"/>
      <c r="HK112" s="153"/>
      <c r="HL112" s="153"/>
      <c r="HM112" s="153"/>
      <c r="HN112" s="153"/>
      <c r="HO112" s="153"/>
      <c r="HP112" s="153"/>
      <c r="HQ112" s="153"/>
      <c r="HR112" s="153"/>
      <c r="HS112" s="153"/>
      <c r="HT112" s="153"/>
      <c r="HU112" s="153"/>
      <c r="HV112" s="153"/>
      <c r="HW112" s="153"/>
      <c r="HX112" s="153"/>
      <c r="HY112" s="153"/>
      <c r="HZ112" s="153"/>
      <c r="IA112" s="153"/>
      <c r="IB112" s="153"/>
      <c r="IC112" s="153"/>
      <c r="ID112" s="153"/>
      <c r="IE112" s="153"/>
      <c r="IF112" s="153"/>
      <c r="IG112" s="153"/>
      <c r="IH112" s="153"/>
      <c r="II112" s="153"/>
      <c r="IJ112" s="153"/>
    </row>
    <row r="113" spans="1:254" s="154" customFormat="1" ht="47.25">
      <c r="A113" s="115"/>
      <c r="B113" s="213" t="s">
        <v>205</v>
      </c>
      <c r="C113" s="305" t="s">
        <v>254</v>
      </c>
      <c r="D113" s="188" t="s">
        <v>253</v>
      </c>
      <c r="E113" s="257">
        <v>0</v>
      </c>
      <c r="F113" s="238"/>
      <c r="G113" s="257" t="s">
        <v>264</v>
      </c>
      <c r="H113" s="257">
        <v>0</v>
      </c>
      <c r="I113" s="257" t="s">
        <v>264</v>
      </c>
      <c r="J113" s="257">
        <v>0</v>
      </c>
      <c r="K113" s="250"/>
      <c r="L113" s="257"/>
      <c r="M113" s="250"/>
      <c r="N113" s="257"/>
      <c r="O113" s="170"/>
      <c r="P113" s="171">
        <f>P112</f>
        <v>4.9248E-2</v>
      </c>
      <c r="Q113" s="153"/>
      <c r="R113" s="169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3"/>
      <c r="AJ113" s="153"/>
      <c r="AK113" s="153"/>
      <c r="AL113" s="153"/>
      <c r="AM113" s="153"/>
      <c r="AN113" s="153"/>
      <c r="AO113" s="153"/>
      <c r="AP113" s="153"/>
      <c r="AQ113" s="153"/>
      <c r="AR113" s="153"/>
      <c r="AS113" s="153"/>
      <c r="AT113" s="153"/>
      <c r="AU113" s="153"/>
      <c r="AV113" s="153"/>
      <c r="AW113" s="153"/>
      <c r="AX113" s="153"/>
      <c r="AY113" s="153"/>
      <c r="AZ113" s="153"/>
      <c r="BA113" s="153"/>
      <c r="BB113" s="153"/>
      <c r="BC113" s="153"/>
      <c r="BD113" s="153"/>
      <c r="BE113" s="153"/>
      <c r="BF113" s="153"/>
      <c r="BG113" s="153"/>
      <c r="BH113" s="153"/>
      <c r="BI113" s="153"/>
      <c r="BJ113" s="153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  <c r="DG113" s="153"/>
      <c r="DH113" s="153"/>
      <c r="DI113" s="153"/>
      <c r="DJ113" s="153"/>
      <c r="DK113" s="153"/>
      <c r="DL113" s="153"/>
      <c r="DM113" s="153"/>
      <c r="DN113" s="153"/>
      <c r="DO113" s="153"/>
      <c r="DP113" s="153"/>
      <c r="DQ113" s="153"/>
      <c r="DR113" s="153"/>
      <c r="DS113" s="153"/>
      <c r="DT113" s="153"/>
      <c r="DU113" s="153"/>
      <c r="DV113" s="153"/>
      <c r="DW113" s="153"/>
      <c r="DX113" s="153"/>
      <c r="DY113" s="153"/>
      <c r="DZ113" s="153"/>
      <c r="EA113" s="153"/>
      <c r="EB113" s="153"/>
      <c r="EC113" s="153"/>
      <c r="ED113" s="153"/>
      <c r="EE113" s="153"/>
      <c r="EF113" s="153"/>
      <c r="EG113" s="153"/>
      <c r="EH113" s="153"/>
      <c r="EI113" s="153"/>
      <c r="EJ113" s="153"/>
      <c r="EK113" s="153"/>
      <c r="EL113" s="153"/>
      <c r="EM113" s="153"/>
      <c r="EN113" s="153"/>
      <c r="EO113" s="153"/>
      <c r="EP113" s="153"/>
      <c r="EQ113" s="153"/>
      <c r="ER113" s="153"/>
      <c r="ES113" s="153"/>
      <c r="ET113" s="153"/>
      <c r="EU113" s="153"/>
      <c r="EV113" s="153"/>
      <c r="EW113" s="153"/>
      <c r="EX113" s="153"/>
      <c r="EY113" s="153"/>
      <c r="EZ113" s="153"/>
      <c r="FA113" s="153"/>
      <c r="FB113" s="153"/>
      <c r="FC113" s="153"/>
      <c r="FD113" s="153"/>
      <c r="FE113" s="153"/>
      <c r="FF113" s="153"/>
      <c r="FG113" s="153"/>
      <c r="FH113" s="153"/>
      <c r="FI113" s="153"/>
      <c r="FJ113" s="153"/>
      <c r="FK113" s="153"/>
      <c r="FL113" s="153"/>
      <c r="FM113" s="153"/>
      <c r="FN113" s="153"/>
      <c r="FO113" s="153"/>
      <c r="FP113" s="153"/>
      <c r="FQ113" s="153"/>
      <c r="FR113" s="153"/>
      <c r="FS113" s="153"/>
      <c r="FT113" s="153"/>
      <c r="FU113" s="153"/>
      <c r="FV113" s="153"/>
      <c r="FW113" s="153"/>
      <c r="FX113" s="153"/>
      <c r="FY113" s="153"/>
      <c r="FZ113" s="153"/>
      <c r="GA113" s="153"/>
      <c r="GB113" s="153"/>
      <c r="GC113" s="153"/>
      <c r="GD113" s="153"/>
      <c r="GE113" s="153"/>
      <c r="GF113" s="153"/>
      <c r="GG113" s="153"/>
      <c r="GH113" s="153"/>
      <c r="GI113" s="153"/>
      <c r="GJ113" s="153"/>
      <c r="GK113" s="153"/>
      <c r="GL113" s="153"/>
      <c r="GM113" s="153"/>
      <c r="GN113" s="153"/>
      <c r="GO113" s="153"/>
      <c r="GP113" s="153"/>
      <c r="GQ113" s="153"/>
      <c r="GR113" s="153"/>
      <c r="GS113" s="153"/>
      <c r="GT113" s="153"/>
      <c r="GU113" s="153"/>
      <c r="GV113" s="153"/>
      <c r="GW113" s="153"/>
      <c r="GX113" s="153"/>
      <c r="GY113" s="153"/>
      <c r="GZ113" s="153"/>
      <c r="HA113" s="153"/>
      <c r="HB113" s="153"/>
      <c r="HC113" s="153"/>
      <c r="HD113" s="153"/>
      <c r="HE113" s="153"/>
      <c r="HF113" s="153"/>
      <c r="HG113" s="153"/>
      <c r="HH113" s="153"/>
      <c r="HI113" s="153"/>
      <c r="HJ113" s="153"/>
      <c r="HK113" s="153"/>
      <c r="HL113" s="153"/>
      <c r="HM113" s="153"/>
      <c r="HN113" s="153"/>
      <c r="HO113" s="153"/>
      <c r="HP113" s="153"/>
      <c r="HQ113" s="153"/>
      <c r="HR113" s="153"/>
      <c r="HS113" s="153"/>
      <c r="HT113" s="153"/>
      <c r="HU113" s="153"/>
      <c r="HV113" s="153"/>
      <c r="HW113" s="153"/>
      <c r="HX113" s="153"/>
      <c r="HY113" s="153"/>
      <c r="HZ113" s="153"/>
      <c r="IA113" s="153"/>
      <c r="IB113" s="153"/>
      <c r="IC113" s="153"/>
      <c r="ID113" s="153"/>
      <c r="IE113" s="153"/>
      <c r="IF113" s="153"/>
      <c r="IG113" s="153"/>
      <c r="IH113" s="153"/>
      <c r="II113" s="153"/>
      <c r="IJ113" s="153"/>
    </row>
    <row r="114" spans="1:254" ht="31.5">
      <c r="A114" s="164"/>
      <c r="B114" s="207" t="s">
        <v>206</v>
      </c>
      <c r="C114" s="260" t="s">
        <v>255</v>
      </c>
      <c r="D114" s="137" t="s">
        <v>165</v>
      </c>
      <c r="E114" s="226" t="s">
        <v>256</v>
      </c>
      <c r="F114" s="151"/>
      <c r="G114" s="252" t="s">
        <v>557</v>
      </c>
      <c r="H114" s="226" t="s">
        <v>256</v>
      </c>
      <c r="I114" s="252" t="s">
        <v>557</v>
      </c>
      <c r="J114" s="226" t="s">
        <v>256</v>
      </c>
      <c r="K114" s="252"/>
      <c r="L114" s="226"/>
      <c r="M114" s="252"/>
      <c r="N114" s="226"/>
      <c r="O114" s="166">
        <f>1.4*4/1000</f>
        <v>5.5999999999999999E-3</v>
      </c>
      <c r="P114" s="99"/>
      <c r="Q114" s="99"/>
      <c r="R114" s="99"/>
      <c r="S114" s="99">
        <f>186-87</f>
        <v>99</v>
      </c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99"/>
      <c r="DE114" s="99"/>
      <c r="DF114" s="99"/>
      <c r="DG114" s="99"/>
      <c r="DH114" s="99"/>
      <c r="DI114" s="99"/>
      <c r="DJ114" s="99"/>
      <c r="DK114" s="99"/>
      <c r="DL114" s="99"/>
      <c r="DM114" s="99"/>
      <c r="DN114" s="99"/>
      <c r="DO114" s="99"/>
      <c r="DP114" s="99"/>
      <c r="DQ114" s="99"/>
      <c r="DR114" s="99"/>
      <c r="DS114" s="99"/>
      <c r="DT114" s="99"/>
      <c r="DU114" s="99"/>
      <c r="DV114" s="99"/>
      <c r="DW114" s="99"/>
      <c r="DX114" s="99"/>
      <c r="DY114" s="99"/>
      <c r="DZ114" s="99"/>
      <c r="EA114" s="99"/>
      <c r="EB114" s="99"/>
      <c r="EC114" s="99"/>
      <c r="ED114" s="99"/>
      <c r="EE114" s="99"/>
      <c r="EF114" s="99"/>
      <c r="EG114" s="99"/>
      <c r="EH114" s="99"/>
      <c r="EI114" s="99"/>
      <c r="EJ114" s="99"/>
      <c r="EK114" s="99"/>
      <c r="EL114" s="99"/>
      <c r="EM114" s="99"/>
      <c r="EN114" s="99"/>
      <c r="EO114" s="99"/>
      <c r="EP114" s="99"/>
      <c r="EQ114" s="99"/>
      <c r="ER114" s="99"/>
      <c r="ES114" s="99"/>
      <c r="ET114" s="99"/>
      <c r="EU114" s="99"/>
      <c r="EV114" s="99"/>
      <c r="EW114" s="99"/>
      <c r="EX114" s="99"/>
      <c r="EY114" s="99"/>
      <c r="EZ114" s="99"/>
      <c r="FA114" s="99"/>
      <c r="FB114" s="99"/>
      <c r="FC114" s="99"/>
      <c r="FD114" s="99"/>
      <c r="FE114" s="99"/>
      <c r="FF114" s="99"/>
      <c r="FG114" s="99"/>
      <c r="FH114" s="99"/>
      <c r="FI114" s="99"/>
      <c r="FJ114" s="99"/>
      <c r="FK114" s="99"/>
      <c r="FL114" s="99"/>
      <c r="FM114" s="99"/>
      <c r="FN114" s="99"/>
      <c r="FO114" s="99"/>
      <c r="FP114" s="99"/>
      <c r="FQ114" s="99"/>
      <c r="FR114" s="99"/>
      <c r="FS114" s="99"/>
      <c r="FT114" s="99"/>
      <c r="FU114" s="99"/>
      <c r="FV114" s="99"/>
      <c r="FW114" s="99"/>
      <c r="FX114" s="99"/>
      <c r="FY114" s="99"/>
      <c r="FZ114" s="99"/>
      <c r="GA114" s="99"/>
      <c r="GB114" s="99"/>
      <c r="GC114" s="99"/>
      <c r="GD114" s="99"/>
      <c r="GE114" s="99"/>
      <c r="GF114" s="99"/>
      <c r="GG114" s="99"/>
      <c r="GH114" s="99"/>
      <c r="GI114" s="99"/>
      <c r="GJ114" s="99"/>
      <c r="GK114" s="99"/>
      <c r="GL114" s="99"/>
      <c r="GM114" s="99"/>
      <c r="GN114" s="99"/>
      <c r="GO114" s="99"/>
      <c r="GP114" s="99"/>
      <c r="GQ114" s="99"/>
      <c r="GR114" s="99"/>
      <c r="GS114" s="99"/>
      <c r="GT114" s="99"/>
      <c r="GU114" s="99"/>
      <c r="GV114" s="99"/>
      <c r="GW114" s="99"/>
      <c r="GX114" s="99"/>
      <c r="GY114" s="99"/>
      <c r="GZ114" s="99"/>
      <c r="HA114" s="99"/>
      <c r="HB114" s="99"/>
      <c r="HC114" s="99"/>
      <c r="HD114" s="99"/>
      <c r="HE114" s="99"/>
      <c r="HF114" s="99"/>
      <c r="HG114" s="99"/>
      <c r="HH114" s="99"/>
      <c r="HI114" s="99"/>
      <c r="HJ114" s="99"/>
      <c r="HK114" s="99"/>
      <c r="HL114" s="99"/>
      <c r="HM114" s="99"/>
      <c r="HN114" s="99"/>
      <c r="HO114" s="99"/>
      <c r="HP114" s="99"/>
      <c r="HQ114" s="99"/>
      <c r="HR114" s="99"/>
      <c r="HS114" s="99"/>
      <c r="HT114" s="99"/>
      <c r="HU114" s="99"/>
      <c r="HV114" s="99"/>
      <c r="HW114" s="99"/>
      <c r="HX114" s="99"/>
      <c r="HY114" s="99"/>
      <c r="HZ114" s="99"/>
      <c r="IA114" s="99"/>
      <c r="IB114" s="99"/>
      <c r="IC114" s="99"/>
      <c r="ID114" s="99"/>
      <c r="IE114" s="99"/>
      <c r="IF114" s="99"/>
      <c r="IG114" s="99"/>
      <c r="IH114" s="99"/>
      <c r="IT114" s="112"/>
    </row>
    <row r="115" spans="1:254" ht="63">
      <c r="A115" s="164"/>
      <c r="B115" s="186" t="s">
        <v>325</v>
      </c>
      <c r="C115" s="332" t="s">
        <v>384</v>
      </c>
      <c r="D115" s="136" t="s">
        <v>141</v>
      </c>
      <c r="E115" s="252" t="s">
        <v>383</v>
      </c>
      <c r="F115" s="150"/>
      <c r="G115" s="252" t="s">
        <v>264</v>
      </c>
      <c r="H115" s="252" t="s">
        <v>383</v>
      </c>
      <c r="I115" s="252" t="s">
        <v>264</v>
      </c>
      <c r="J115" s="252" t="s">
        <v>383</v>
      </c>
      <c r="K115" s="252"/>
      <c r="L115" s="252"/>
      <c r="M115" s="252"/>
      <c r="N115" s="252"/>
      <c r="O115" s="311">
        <f>(50*1.7+1.07*16+0.45*12)/1000</f>
        <v>0.10752</v>
      </c>
      <c r="P115" s="312">
        <f>0.06*28/1000</f>
        <v>1.6799999999999999E-3</v>
      </c>
      <c r="Q115" s="99">
        <f>P115+O115</f>
        <v>0.10920000000000001</v>
      </c>
      <c r="R115" s="311">
        <f>(54.1*1.7+1.07*16+0.45*12)/1000</f>
        <v>0.11449000000000001</v>
      </c>
      <c r="S115" s="344">
        <f>J115-H115</f>
        <v>0</v>
      </c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  <c r="AY115" s="99"/>
      <c r="AZ115" s="99"/>
      <c r="BA115" s="99"/>
      <c r="BB115" s="99"/>
      <c r="BC115" s="99"/>
      <c r="BD115" s="99"/>
      <c r="BE115" s="99"/>
      <c r="BF115" s="99"/>
      <c r="BG115" s="99"/>
      <c r="BH115" s="99"/>
      <c r="BI115" s="99"/>
      <c r="BJ115" s="99"/>
      <c r="BK115" s="99"/>
      <c r="BL115" s="99"/>
      <c r="BM115" s="99"/>
      <c r="BN115" s="99"/>
      <c r="BO115" s="99"/>
      <c r="BP115" s="99"/>
      <c r="BQ115" s="99"/>
      <c r="BR115" s="99"/>
      <c r="BS115" s="99"/>
      <c r="BT115" s="99"/>
      <c r="BU115" s="99"/>
      <c r="BV115" s="99"/>
      <c r="BW115" s="99"/>
      <c r="BX115" s="99"/>
      <c r="BY115" s="99"/>
      <c r="BZ115" s="99"/>
      <c r="CA115" s="99"/>
      <c r="CB115" s="99"/>
      <c r="CC115" s="99"/>
      <c r="CD115" s="99"/>
      <c r="CE115" s="99"/>
      <c r="CF115" s="99"/>
      <c r="CG115" s="99"/>
      <c r="CH115" s="99"/>
      <c r="CI115" s="99"/>
      <c r="CJ115" s="99"/>
      <c r="CK115" s="99"/>
      <c r="CL115" s="99"/>
      <c r="CM115" s="99"/>
      <c r="CN115" s="99"/>
      <c r="CO115" s="99"/>
      <c r="CP115" s="99"/>
      <c r="CQ115" s="99"/>
      <c r="CR115" s="99"/>
      <c r="CS115" s="99"/>
      <c r="CT115" s="99"/>
      <c r="CU115" s="99"/>
      <c r="CV115" s="99"/>
      <c r="CW115" s="99"/>
      <c r="CX115" s="99"/>
      <c r="CY115" s="99"/>
      <c r="CZ115" s="99"/>
      <c r="DA115" s="99"/>
      <c r="DB115" s="99"/>
      <c r="DC115" s="99"/>
      <c r="DD115" s="99"/>
      <c r="DE115" s="99"/>
      <c r="DF115" s="99"/>
      <c r="DG115" s="99"/>
      <c r="DH115" s="99"/>
      <c r="DI115" s="99"/>
      <c r="DJ115" s="99"/>
      <c r="DK115" s="99"/>
      <c r="DL115" s="99"/>
      <c r="DM115" s="99"/>
      <c r="DN115" s="99"/>
      <c r="DO115" s="99"/>
      <c r="DP115" s="99"/>
      <c r="DQ115" s="99"/>
      <c r="DR115" s="99"/>
      <c r="DS115" s="99"/>
      <c r="DT115" s="99"/>
      <c r="DU115" s="99"/>
      <c r="DV115" s="99"/>
      <c r="DW115" s="99"/>
      <c r="DX115" s="99"/>
      <c r="DY115" s="99"/>
      <c r="DZ115" s="99"/>
      <c r="EA115" s="99"/>
      <c r="EB115" s="99"/>
      <c r="EC115" s="99"/>
      <c r="ED115" s="99"/>
      <c r="EE115" s="99"/>
      <c r="EF115" s="99"/>
      <c r="EG115" s="99"/>
      <c r="EH115" s="99"/>
      <c r="EI115" s="99"/>
      <c r="EJ115" s="99"/>
      <c r="EK115" s="99"/>
      <c r="EL115" s="99"/>
      <c r="EM115" s="99"/>
      <c r="EN115" s="99"/>
      <c r="EO115" s="99"/>
      <c r="EP115" s="99"/>
      <c r="EQ115" s="99"/>
      <c r="ER115" s="99"/>
      <c r="ES115" s="99"/>
      <c r="ET115" s="99"/>
      <c r="EU115" s="99"/>
      <c r="EV115" s="99"/>
      <c r="EW115" s="99"/>
      <c r="EX115" s="99"/>
      <c r="EY115" s="99"/>
      <c r="EZ115" s="99"/>
      <c r="FA115" s="99"/>
      <c r="FB115" s="99"/>
      <c r="FC115" s="99"/>
      <c r="FD115" s="99"/>
      <c r="FE115" s="99"/>
      <c r="FF115" s="99"/>
      <c r="FG115" s="99"/>
      <c r="FH115" s="99"/>
      <c r="FI115" s="99"/>
      <c r="FJ115" s="99"/>
      <c r="FK115" s="99"/>
      <c r="FL115" s="99"/>
      <c r="FM115" s="99"/>
      <c r="FN115" s="99"/>
      <c r="FO115" s="99"/>
      <c r="FP115" s="99"/>
      <c r="FQ115" s="99"/>
      <c r="FR115" s="99"/>
      <c r="FS115" s="99"/>
      <c r="FT115" s="99"/>
      <c r="FU115" s="99"/>
      <c r="FV115" s="99"/>
      <c r="FW115" s="99"/>
      <c r="FX115" s="99"/>
      <c r="FY115" s="99"/>
      <c r="FZ115" s="99"/>
      <c r="GA115" s="99"/>
      <c r="GB115" s="99"/>
      <c r="GC115" s="99"/>
      <c r="GD115" s="99"/>
      <c r="GE115" s="99"/>
      <c r="GF115" s="99"/>
      <c r="GG115" s="99"/>
      <c r="GH115" s="99"/>
      <c r="GI115" s="99"/>
      <c r="GJ115" s="99"/>
      <c r="GK115" s="99"/>
      <c r="GL115" s="99"/>
      <c r="GM115" s="99"/>
      <c r="GN115" s="99"/>
      <c r="GO115" s="99"/>
      <c r="GP115" s="99"/>
      <c r="GQ115" s="99"/>
      <c r="GR115" s="99"/>
      <c r="GS115" s="99"/>
      <c r="GT115" s="99"/>
      <c r="GU115" s="99"/>
      <c r="GV115" s="99"/>
      <c r="GW115" s="99"/>
      <c r="GX115" s="99"/>
      <c r="GY115" s="99"/>
      <c r="GZ115" s="99"/>
      <c r="HA115" s="99"/>
      <c r="HB115" s="99"/>
      <c r="HC115" s="99"/>
      <c r="HD115" s="99"/>
      <c r="HE115" s="99"/>
      <c r="HF115" s="99"/>
      <c r="HG115" s="99"/>
      <c r="HH115" s="99"/>
      <c r="HI115" s="99"/>
      <c r="HJ115" s="99"/>
      <c r="HK115" s="99"/>
      <c r="HL115" s="99"/>
      <c r="HM115" s="99"/>
      <c r="HN115" s="99"/>
      <c r="HO115" s="99"/>
      <c r="HP115" s="99"/>
      <c r="HQ115" s="99"/>
      <c r="HR115" s="99"/>
      <c r="HS115" s="99"/>
      <c r="HT115" s="99"/>
      <c r="HU115" s="99"/>
      <c r="HV115" s="99"/>
      <c r="HW115" s="99"/>
      <c r="HX115" s="99"/>
      <c r="HY115" s="99"/>
      <c r="HZ115" s="99"/>
      <c r="IA115" s="99"/>
      <c r="IB115" s="99"/>
      <c r="IC115" s="99"/>
      <c r="ID115" s="99"/>
      <c r="IE115" s="99"/>
      <c r="IF115" s="99"/>
      <c r="IG115" s="99"/>
      <c r="IH115" s="99"/>
      <c r="IT115" s="112"/>
    </row>
    <row r="116" spans="1:254" ht="31.5">
      <c r="A116" s="164"/>
      <c r="B116" s="185" t="s">
        <v>326</v>
      </c>
      <c r="C116" s="333" t="s">
        <v>329</v>
      </c>
      <c r="D116" s="188" t="s">
        <v>232</v>
      </c>
      <c r="E116" s="215">
        <v>56</v>
      </c>
      <c r="F116" s="334"/>
      <c r="G116" s="215" t="s">
        <v>264</v>
      </c>
      <c r="H116" s="215">
        <v>56</v>
      </c>
      <c r="I116" s="215" t="s">
        <v>264</v>
      </c>
      <c r="J116" s="215">
        <v>56</v>
      </c>
      <c r="K116" s="345"/>
      <c r="L116" s="215"/>
      <c r="M116" s="345"/>
      <c r="N116" s="215"/>
      <c r="O116" s="166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  <c r="AY116" s="99"/>
      <c r="AZ116" s="99"/>
      <c r="BA116" s="99"/>
      <c r="BB116" s="99"/>
      <c r="BC116" s="99"/>
      <c r="BD116" s="99"/>
      <c r="BE116" s="99"/>
      <c r="BF116" s="99"/>
      <c r="BG116" s="99"/>
      <c r="BH116" s="99"/>
      <c r="BI116" s="99"/>
      <c r="BJ116" s="99"/>
      <c r="BK116" s="99"/>
      <c r="BL116" s="99"/>
      <c r="BM116" s="99"/>
      <c r="BN116" s="99"/>
      <c r="BO116" s="99"/>
      <c r="BP116" s="99"/>
      <c r="BQ116" s="99"/>
      <c r="BR116" s="99"/>
      <c r="BS116" s="99"/>
      <c r="BT116" s="99"/>
      <c r="BU116" s="99"/>
      <c r="BV116" s="99"/>
      <c r="BW116" s="99"/>
      <c r="BX116" s="99"/>
      <c r="BY116" s="99"/>
      <c r="BZ116" s="99"/>
      <c r="CA116" s="99"/>
      <c r="CB116" s="99"/>
      <c r="CC116" s="99"/>
      <c r="CD116" s="99"/>
      <c r="CE116" s="99"/>
      <c r="CF116" s="99"/>
      <c r="CG116" s="99"/>
      <c r="CH116" s="99"/>
      <c r="CI116" s="99"/>
      <c r="CJ116" s="99"/>
      <c r="CK116" s="99"/>
      <c r="CL116" s="99"/>
      <c r="CM116" s="99"/>
      <c r="CN116" s="99"/>
      <c r="CO116" s="99"/>
      <c r="CP116" s="99"/>
      <c r="CQ116" s="99"/>
      <c r="CR116" s="99"/>
      <c r="CS116" s="99"/>
      <c r="CT116" s="99"/>
      <c r="CU116" s="99"/>
      <c r="CV116" s="99"/>
      <c r="CW116" s="99"/>
      <c r="CX116" s="99"/>
      <c r="CY116" s="99"/>
      <c r="CZ116" s="99"/>
      <c r="DA116" s="99"/>
      <c r="DB116" s="99"/>
      <c r="DC116" s="99"/>
      <c r="DD116" s="99"/>
      <c r="DE116" s="99"/>
      <c r="DF116" s="99"/>
      <c r="DG116" s="99"/>
      <c r="DH116" s="99"/>
      <c r="DI116" s="99"/>
      <c r="DJ116" s="99"/>
      <c r="DK116" s="99"/>
      <c r="DL116" s="99"/>
      <c r="DM116" s="99"/>
      <c r="DN116" s="99"/>
      <c r="DO116" s="99"/>
      <c r="DP116" s="99"/>
      <c r="DQ116" s="99"/>
      <c r="DR116" s="99"/>
      <c r="DS116" s="99"/>
      <c r="DT116" s="99"/>
      <c r="DU116" s="99"/>
      <c r="DV116" s="99"/>
      <c r="DW116" s="99"/>
      <c r="DX116" s="99"/>
      <c r="DY116" s="99"/>
      <c r="DZ116" s="99"/>
      <c r="EA116" s="99"/>
      <c r="EB116" s="99"/>
      <c r="EC116" s="99"/>
      <c r="ED116" s="99"/>
      <c r="EE116" s="99"/>
      <c r="EF116" s="99"/>
      <c r="EG116" s="99"/>
      <c r="EH116" s="99"/>
      <c r="EI116" s="99"/>
      <c r="EJ116" s="99"/>
      <c r="EK116" s="99"/>
      <c r="EL116" s="99"/>
      <c r="EM116" s="99"/>
      <c r="EN116" s="99"/>
      <c r="EO116" s="99"/>
      <c r="EP116" s="99"/>
      <c r="EQ116" s="99"/>
      <c r="ER116" s="99"/>
      <c r="ES116" s="99"/>
      <c r="ET116" s="99"/>
      <c r="EU116" s="99"/>
      <c r="EV116" s="99"/>
      <c r="EW116" s="99"/>
      <c r="EX116" s="99"/>
      <c r="EY116" s="99"/>
      <c r="EZ116" s="99"/>
      <c r="FA116" s="99"/>
      <c r="FB116" s="99"/>
      <c r="FC116" s="99"/>
      <c r="FD116" s="99"/>
      <c r="FE116" s="99"/>
      <c r="FF116" s="99"/>
      <c r="FG116" s="99"/>
      <c r="FH116" s="99"/>
      <c r="FI116" s="99"/>
      <c r="FJ116" s="99"/>
      <c r="FK116" s="99"/>
      <c r="FL116" s="99"/>
      <c r="FM116" s="99"/>
      <c r="FN116" s="99"/>
      <c r="FO116" s="99"/>
      <c r="FP116" s="99"/>
      <c r="FQ116" s="99"/>
      <c r="FR116" s="99"/>
      <c r="FS116" s="99"/>
      <c r="FT116" s="99"/>
      <c r="FU116" s="99"/>
      <c r="FV116" s="99"/>
      <c r="FW116" s="99"/>
      <c r="FX116" s="99"/>
      <c r="FY116" s="99"/>
      <c r="FZ116" s="99"/>
      <c r="GA116" s="99"/>
      <c r="GB116" s="99"/>
      <c r="GC116" s="99"/>
      <c r="GD116" s="99"/>
      <c r="GE116" s="99"/>
      <c r="GF116" s="99"/>
      <c r="GG116" s="99"/>
      <c r="GH116" s="99"/>
      <c r="GI116" s="99"/>
      <c r="GJ116" s="99"/>
      <c r="GK116" s="99"/>
      <c r="GL116" s="99"/>
      <c r="GM116" s="99"/>
      <c r="GN116" s="99"/>
      <c r="GO116" s="99"/>
      <c r="GP116" s="99"/>
      <c r="GQ116" s="99"/>
      <c r="GR116" s="99"/>
      <c r="GS116" s="99"/>
      <c r="GT116" s="99"/>
      <c r="GU116" s="99"/>
      <c r="GV116" s="99"/>
      <c r="GW116" s="99"/>
      <c r="GX116" s="99"/>
      <c r="GY116" s="99"/>
      <c r="GZ116" s="99"/>
      <c r="HA116" s="99"/>
      <c r="HB116" s="99"/>
      <c r="HC116" s="99"/>
      <c r="HD116" s="99"/>
      <c r="HE116" s="99"/>
      <c r="HF116" s="99"/>
      <c r="HG116" s="99"/>
      <c r="HH116" s="99"/>
      <c r="HI116" s="99"/>
      <c r="HJ116" s="99"/>
      <c r="HK116" s="99"/>
      <c r="HL116" s="99"/>
      <c r="HM116" s="99"/>
      <c r="HN116" s="99"/>
      <c r="HO116" s="99"/>
      <c r="HP116" s="99"/>
      <c r="HQ116" s="99"/>
      <c r="HR116" s="99"/>
      <c r="HS116" s="99"/>
      <c r="HT116" s="99"/>
      <c r="HU116" s="99"/>
      <c r="HV116" s="99"/>
      <c r="HW116" s="99"/>
      <c r="HX116" s="99"/>
      <c r="HY116" s="99"/>
      <c r="HZ116" s="99"/>
      <c r="IA116" s="99"/>
      <c r="IB116" s="99"/>
      <c r="IC116" s="99"/>
      <c r="ID116" s="99"/>
      <c r="IE116" s="99"/>
      <c r="IF116" s="99"/>
      <c r="IG116" s="99"/>
      <c r="IH116" s="99"/>
      <c r="IT116" s="112"/>
    </row>
    <row r="117" spans="1:254" ht="31.5">
      <c r="A117" s="164"/>
      <c r="B117" s="207" t="s">
        <v>327</v>
      </c>
      <c r="C117" s="355" t="s">
        <v>330</v>
      </c>
      <c r="D117" s="137" t="s">
        <v>331</v>
      </c>
      <c r="E117" s="350" t="s">
        <v>332</v>
      </c>
      <c r="F117" s="335"/>
      <c r="G117" s="137" t="s">
        <v>557</v>
      </c>
      <c r="H117" s="350" t="s">
        <v>332</v>
      </c>
      <c r="I117" s="137" t="s">
        <v>557</v>
      </c>
      <c r="J117" s="350" t="s">
        <v>332</v>
      </c>
      <c r="K117" s="252"/>
      <c r="L117" s="350"/>
      <c r="M117" s="252"/>
      <c r="N117" s="350"/>
      <c r="O117" s="166">
        <f>56*0.014</f>
        <v>0.78400000000000003</v>
      </c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  <c r="BK117" s="99"/>
      <c r="BL117" s="99"/>
      <c r="BM117" s="99"/>
      <c r="BN117" s="99"/>
      <c r="BO117" s="99"/>
      <c r="BP117" s="99"/>
      <c r="BQ117" s="99"/>
      <c r="BR117" s="99"/>
      <c r="BS117" s="99"/>
      <c r="BT117" s="99"/>
      <c r="BU117" s="99"/>
      <c r="BV117" s="99"/>
      <c r="BW117" s="99"/>
      <c r="BX117" s="99"/>
      <c r="BY117" s="99"/>
      <c r="BZ117" s="99"/>
      <c r="CA117" s="99"/>
      <c r="CB117" s="99"/>
      <c r="CC117" s="99"/>
      <c r="CD117" s="99"/>
      <c r="CE117" s="99"/>
      <c r="CF117" s="99"/>
      <c r="CG117" s="99"/>
      <c r="CH117" s="99"/>
      <c r="CI117" s="99"/>
      <c r="CJ117" s="99"/>
      <c r="CK117" s="99"/>
      <c r="CL117" s="99"/>
      <c r="CM117" s="99"/>
      <c r="CN117" s="99"/>
      <c r="CO117" s="99"/>
      <c r="CP117" s="99"/>
      <c r="CQ117" s="99"/>
      <c r="CR117" s="99"/>
      <c r="CS117" s="99"/>
      <c r="CT117" s="99"/>
      <c r="CU117" s="99"/>
      <c r="CV117" s="99"/>
      <c r="CW117" s="99"/>
      <c r="CX117" s="99"/>
      <c r="CY117" s="99"/>
      <c r="CZ117" s="99"/>
      <c r="DA117" s="99"/>
      <c r="DB117" s="99"/>
      <c r="DC117" s="99"/>
      <c r="DD117" s="99"/>
      <c r="DE117" s="99"/>
      <c r="DF117" s="99"/>
      <c r="DG117" s="99"/>
      <c r="DH117" s="99"/>
      <c r="DI117" s="99"/>
      <c r="DJ117" s="99"/>
      <c r="DK117" s="99"/>
      <c r="DL117" s="99"/>
      <c r="DM117" s="99"/>
      <c r="DN117" s="99"/>
      <c r="DO117" s="99"/>
      <c r="DP117" s="99"/>
      <c r="DQ117" s="99"/>
      <c r="DR117" s="99"/>
      <c r="DS117" s="99"/>
      <c r="DT117" s="99"/>
      <c r="DU117" s="99"/>
      <c r="DV117" s="99"/>
      <c r="DW117" s="99"/>
      <c r="DX117" s="99"/>
      <c r="DY117" s="99"/>
      <c r="DZ117" s="99"/>
      <c r="EA117" s="99"/>
      <c r="EB117" s="99"/>
      <c r="EC117" s="99"/>
      <c r="ED117" s="99"/>
      <c r="EE117" s="99"/>
      <c r="EF117" s="99"/>
      <c r="EG117" s="99"/>
      <c r="EH117" s="99"/>
      <c r="EI117" s="99"/>
      <c r="EJ117" s="99"/>
      <c r="EK117" s="99"/>
      <c r="EL117" s="99"/>
      <c r="EM117" s="99"/>
      <c r="EN117" s="99"/>
      <c r="EO117" s="99"/>
      <c r="EP117" s="99"/>
      <c r="EQ117" s="99"/>
      <c r="ER117" s="99"/>
      <c r="ES117" s="99"/>
      <c r="ET117" s="99"/>
      <c r="EU117" s="99"/>
      <c r="EV117" s="99"/>
      <c r="EW117" s="99"/>
      <c r="EX117" s="99"/>
      <c r="EY117" s="99"/>
      <c r="EZ117" s="99"/>
      <c r="FA117" s="99"/>
      <c r="FB117" s="99"/>
      <c r="FC117" s="99"/>
      <c r="FD117" s="99"/>
      <c r="FE117" s="99"/>
      <c r="FF117" s="99"/>
      <c r="FG117" s="99"/>
      <c r="FH117" s="99"/>
      <c r="FI117" s="99"/>
      <c r="FJ117" s="99"/>
      <c r="FK117" s="99"/>
      <c r="FL117" s="99"/>
      <c r="FM117" s="99"/>
      <c r="FN117" s="99"/>
      <c r="FO117" s="99"/>
      <c r="FP117" s="99"/>
      <c r="FQ117" s="99"/>
      <c r="FR117" s="99"/>
      <c r="FS117" s="99"/>
      <c r="FT117" s="99"/>
      <c r="FU117" s="99"/>
      <c r="FV117" s="99"/>
      <c r="FW117" s="99"/>
      <c r="FX117" s="99"/>
      <c r="FY117" s="99"/>
      <c r="FZ117" s="99"/>
      <c r="GA117" s="99"/>
      <c r="GB117" s="99"/>
      <c r="GC117" s="99"/>
      <c r="GD117" s="99"/>
      <c r="GE117" s="99"/>
      <c r="GF117" s="99"/>
      <c r="GG117" s="99"/>
      <c r="GH117" s="99"/>
      <c r="GI117" s="99"/>
      <c r="GJ117" s="99"/>
      <c r="GK117" s="99"/>
      <c r="GL117" s="99"/>
      <c r="GM117" s="99"/>
      <c r="GN117" s="99"/>
      <c r="GO117" s="99"/>
      <c r="GP117" s="99"/>
      <c r="GQ117" s="99"/>
      <c r="GR117" s="99"/>
      <c r="GS117" s="99"/>
      <c r="GT117" s="99"/>
      <c r="GU117" s="99"/>
      <c r="GV117" s="99"/>
      <c r="GW117" s="99"/>
      <c r="GX117" s="99"/>
      <c r="GY117" s="99"/>
      <c r="GZ117" s="99"/>
      <c r="HA117" s="99"/>
      <c r="HB117" s="99"/>
      <c r="HC117" s="99"/>
      <c r="HD117" s="99"/>
      <c r="HE117" s="99"/>
      <c r="HF117" s="99"/>
      <c r="HG117" s="99"/>
      <c r="HH117" s="99"/>
      <c r="HI117" s="99"/>
      <c r="HJ117" s="99"/>
      <c r="HK117" s="99"/>
      <c r="HL117" s="99"/>
      <c r="HM117" s="99"/>
      <c r="HN117" s="99"/>
      <c r="HO117" s="99"/>
      <c r="HP117" s="99"/>
      <c r="HQ117" s="99"/>
      <c r="HR117" s="99"/>
      <c r="HS117" s="99"/>
      <c r="HT117" s="99"/>
      <c r="HU117" s="99"/>
      <c r="HV117" s="99"/>
      <c r="HW117" s="99"/>
      <c r="HX117" s="99"/>
      <c r="HY117" s="99"/>
      <c r="HZ117" s="99"/>
      <c r="IA117" s="99"/>
      <c r="IB117" s="99"/>
      <c r="IC117" s="99"/>
      <c r="ID117" s="99"/>
      <c r="IE117" s="99"/>
      <c r="IF117" s="99"/>
      <c r="IG117" s="99"/>
      <c r="IH117" s="99"/>
      <c r="IT117" s="112" t="s">
        <v>511</v>
      </c>
    </row>
    <row r="118" spans="1:254" ht="162.94999999999999" customHeight="1" thickBot="1">
      <c r="A118" s="484" t="s">
        <v>510</v>
      </c>
      <c r="B118" s="467"/>
      <c r="C118" s="482"/>
      <c r="D118" s="469"/>
      <c r="E118" s="485"/>
      <c r="F118" s="486"/>
      <c r="G118" s="469"/>
      <c r="H118" s="485"/>
      <c r="I118" s="469"/>
      <c r="J118" s="485"/>
      <c r="K118" s="474"/>
      <c r="L118" s="485"/>
      <c r="M118" s="474"/>
      <c r="N118" s="487"/>
      <c r="O118" s="166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  <c r="AY118" s="99"/>
      <c r="AZ118" s="99"/>
      <c r="BA118" s="99"/>
      <c r="BB118" s="99"/>
      <c r="BC118" s="99"/>
      <c r="BD118" s="99"/>
      <c r="BE118" s="99"/>
      <c r="BF118" s="99"/>
      <c r="BG118" s="99"/>
      <c r="BH118" s="99"/>
      <c r="BI118" s="99"/>
      <c r="BJ118" s="99"/>
      <c r="BK118" s="99"/>
      <c r="BL118" s="99"/>
      <c r="BM118" s="99"/>
      <c r="BN118" s="99"/>
      <c r="BO118" s="99"/>
      <c r="BP118" s="99"/>
      <c r="BQ118" s="99"/>
      <c r="BR118" s="99"/>
      <c r="BS118" s="99"/>
      <c r="BT118" s="99"/>
      <c r="BU118" s="99"/>
      <c r="BV118" s="99"/>
      <c r="BW118" s="99"/>
      <c r="BX118" s="99"/>
      <c r="BY118" s="99"/>
      <c r="BZ118" s="99"/>
      <c r="CA118" s="99"/>
      <c r="CB118" s="99"/>
      <c r="CC118" s="99"/>
      <c r="CD118" s="99"/>
      <c r="CE118" s="99"/>
      <c r="CF118" s="99"/>
      <c r="CG118" s="99"/>
      <c r="CH118" s="99"/>
      <c r="CI118" s="99"/>
      <c r="CJ118" s="99"/>
      <c r="CK118" s="99"/>
      <c r="CL118" s="99"/>
      <c r="CM118" s="99"/>
      <c r="CN118" s="99"/>
      <c r="CO118" s="99"/>
      <c r="CP118" s="99"/>
      <c r="CQ118" s="99"/>
      <c r="CR118" s="99"/>
      <c r="CS118" s="99"/>
      <c r="CT118" s="99"/>
      <c r="CU118" s="99"/>
      <c r="CV118" s="99"/>
      <c r="CW118" s="99"/>
      <c r="CX118" s="99"/>
      <c r="CY118" s="99"/>
      <c r="CZ118" s="99"/>
      <c r="DA118" s="99"/>
      <c r="DB118" s="99"/>
      <c r="DC118" s="99"/>
      <c r="DD118" s="99"/>
      <c r="DE118" s="99"/>
      <c r="DF118" s="99"/>
      <c r="DG118" s="99"/>
      <c r="DH118" s="99"/>
      <c r="DI118" s="99"/>
      <c r="DJ118" s="99"/>
      <c r="DK118" s="99"/>
      <c r="DL118" s="99"/>
      <c r="DM118" s="99"/>
      <c r="DN118" s="99"/>
      <c r="DO118" s="99"/>
      <c r="DP118" s="99"/>
      <c r="DQ118" s="99"/>
      <c r="DR118" s="99"/>
      <c r="DS118" s="99"/>
      <c r="DT118" s="99"/>
      <c r="DU118" s="99"/>
      <c r="DV118" s="99"/>
      <c r="DW118" s="99"/>
      <c r="DX118" s="99"/>
      <c r="DY118" s="99"/>
      <c r="DZ118" s="99"/>
      <c r="EA118" s="99"/>
      <c r="EB118" s="99"/>
      <c r="EC118" s="99"/>
      <c r="ED118" s="99"/>
      <c r="EE118" s="99"/>
      <c r="EF118" s="99"/>
      <c r="EG118" s="99"/>
      <c r="EH118" s="99"/>
      <c r="EI118" s="99"/>
      <c r="EJ118" s="99"/>
      <c r="EK118" s="99"/>
      <c r="EL118" s="99"/>
      <c r="EM118" s="99"/>
      <c r="EN118" s="99"/>
      <c r="EO118" s="99"/>
      <c r="EP118" s="99"/>
      <c r="EQ118" s="99"/>
      <c r="ER118" s="99"/>
      <c r="ES118" s="99"/>
      <c r="ET118" s="99"/>
      <c r="EU118" s="99"/>
      <c r="EV118" s="99"/>
      <c r="EW118" s="99"/>
      <c r="EX118" s="99"/>
      <c r="EY118" s="99"/>
      <c r="EZ118" s="99"/>
      <c r="FA118" s="99"/>
      <c r="FB118" s="99"/>
      <c r="FC118" s="99"/>
      <c r="FD118" s="99"/>
      <c r="FE118" s="99"/>
      <c r="FF118" s="99"/>
      <c r="FG118" s="99"/>
      <c r="FH118" s="99"/>
      <c r="FI118" s="99"/>
      <c r="FJ118" s="99"/>
      <c r="FK118" s="99"/>
      <c r="FL118" s="99"/>
      <c r="FM118" s="99"/>
      <c r="FN118" s="99"/>
      <c r="FO118" s="99"/>
      <c r="FP118" s="99"/>
      <c r="FQ118" s="99"/>
      <c r="FR118" s="99"/>
      <c r="FS118" s="99"/>
      <c r="FT118" s="99"/>
      <c r="FU118" s="99"/>
      <c r="FV118" s="99"/>
      <c r="FW118" s="99"/>
      <c r="FX118" s="99"/>
      <c r="FY118" s="99"/>
      <c r="FZ118" s="99"/>
      <c r="GA118" s="99"/>
      <c r="GB118" s="99"/>
      <c r="GC118" s="99"/>
      <c r="GD118" s="99"/>
      <c r="GE118" s="99"/>
      <c r="GF118" s="99"/>
      <c r="GG118" s="99"/>
      <c r="GH118" s="99"/>
      <c r="GI118" s="99"/>
      <c r="GJ118" s="99"/>
      <c r="GK118" s="99"/>
      <c r="GL118" s="99"/>
      <c r="GM118" s="99"/>
      <c r="GN118" s="99"/>
      <c r="GO118" s="99"/>
      <c r="GP118" s="99"/>
      <c r="GQ118" s="99"/>
      <c r="GR118" s="99"/>
      <c r="GS118" s="99"/>
      <c r="GT118" s="99"/>
      <c r="GU118" s="99"/>
      <c r="GV118" s="99"/>
      <c r="GW118" s="99"/>
      <c r="GX118" s="99"/>
      <c r="GY118" s="99"/>
      <c r="GZ118" s="99"/>
      <c r="HA118" s="99"/>
      <c r="HB118" s="99"/>
      <c r="HC118" s="99"/>
      <c r="HD118" s="99"/>
      <c r="HE118" s="99"/>
      <c r="HF118" s="99"/>
      <c r="HG118" s="99"/>
      <c r="HH118" s="99"/>
      <c r="HI118" s="99"/>
      <c r="HJ118" s="99"/>
      <c r="HK118" s="99"/>
      <c r="HL118" s="99"/>
      <c r="HM118" s="99"/>
      <c r="HN118" s="99"/>
      <c r="HO118" s="99"/>
      <c r="HP118" s="99"/>
      <c r="HQ118" s="99"/>
      <c r="HR118" s="99"/>
      <c r="HS118" s="99"/>
      <c r="HT118" s="99"/>
      <c r="HU118" s="99"/>
      <c r="HV118" s="99"/>
      <c r="HW118" s="99"/>
      <c r="HX118" s="99"/>
      <c r="HY118" s="99"/>
      <c r="HZ118" s="99"/>
      <c r="IA118" s="99"/>
      <c r="IB118" s="99"/>
      <c r="IC118" s="99"/>
      <c r="ID118" s="99"/>
      <c r="IE118" s="99"/>
      <c r="IF118" s="99"/>
      <c r="IG118" s="99"/>
      <c r="IH118" s="99"/>
      <c r="IT118" s="112"/>
    </row>
    <row r="119" spans="1:254" ht="30" customHeight="1" thickBot="1">
      <c r="A119" s="484" t="s">
        <v>510</v>
      </c>
      <c r="B119" s="479"/>
      <c r="C119" s="483"/>
      <c r="D119" s="476"/>
      <c r="E119" s="488"/>
      <c r="F119" s="489"/>
      <c r="G119" s="476"/>
      <c r="H119" s="488"/>
      <c r="I119" s="476"/>
      <c r="J119" s="488"/>
      <c r="K119" s="478"/>
      <c r="L119" s="488"/>
      <c r="M119" s="478"/>
      <c r="N119" s="488"/>
      <c r="O119" s="166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  <c r="AY119" s="99"/>
      <c r="AZ119" s="99"/>
      <c r="BA119" s="99"/>
      <c r="BB119" s="99"/>
      <c r="BC119" s="99"/>
      <c r="BD119" s="99"/>
      <c r="BE119" s="99"/>
      <c r="BF119" s="99"/>
      <c r="BG119" s="99"/>
      <c r="BH119" s="99"/>
      <c r="BI119" s="99"/>
      <c r="BJ119" s="99"/>
      <c r="BK119" s="99"/>
      <c r="BL119" s="99"/>
      <c r="BM119" s="99"/>
      <c r="BN119" s="99"/>
      <c r="BO119" s="99"/>
      <c r="BP119" s="99"/>
      <c r="BQ119" s="99"/>
      <c r="BR119" s="99"/>
      <c r="BS119" s="99"/>
      <c r="BT119" s="99"/>
      <c r="BU119" s="99"/>
      <c r="BV119" s="99"/>
      <c r="BW119" s="99"/>
      <c r="BX119" s="99"/>
      <c r="BY119" s="99"/>
      <c r="BZ119" s="99"/>
      <c r="CA119" s="99"/>
      <c r="CB119" s="99"/>
      <c r="CC119" s="99"/>
      <c r="CD119" s="99"/>
      <c r="CE119" s="99"/>
      <c r="CF119" s="99"/>
      <c r="CG119" s="99"/>
      <c r="CH119" s="99"/>
      <c r="CI119" s="99"/>
      <c r="CJ119" s="99"/>
      <c r="CK119" s="99"/>
      <c r="CL119" s="99"/>
      <c r="CM119" s="99"/>
      <c r="CN119" s="99"/>
      <c r="CO119" s="99"/>
      <c r="CP119" s="99"/>
      <c r="CQ119" s="99"/>
      <c r="CR119" s="99"/>
      <c r="CS119" s="99"/>
      <c r="CT119" s="99"/>
      <c r="CU119" s="99"/>
      <c r="CV119" s="99"/>
      <c r="CW119" s="99"/>
      <c r="CX119" s="99"/>
      <c r="CY119" s="99"/>
      <c r="CZ119" s="99"/>
      <c r="DA119" s="99"/>
      <c r="DB119" s="99"/>
      <c r="DC119" s="99"/>
      <c r="DD119" s="99"/>
      <c r="DE119" s="99"/>
      <c r="DF119" s="99"/>
      <c r="DG119" s="99"/>
      <c r="DH119" s="99"/>
      <c r="DI119" s="99"/>
      <c r="DJ119" s="99"/>
      <c r="DK119" s="99"/>
      <c r="DL119" s="99"/>
      <c r="DM119" s="99"/>
      <c r="DN119" s="99"/>
      <c r="DO119" s="99"/>
      <c r="DP119" s="99"/>
      <c r="DQ119" s="99"/>
      <c r="DR119" s="99"/>
      <c r="DS119" s="99"/>
      <c r="DT119" s="99"/>
      <c r="DU119" s="99"/>
      <c r="DV119" s="99"/>
      <c r="DW119" s="99"/>
      <c r="DX119" s="99"/>
      <c r="DY119" s="99"/>
      <c r="DZ119" s="99"/>
      <c r="EA119" s="99"/>
      <c r="EB119" s="99"/>
      <c r="EC119" s="99"/>
      <c r="ED119" s="99"/>
      <c r="EE119" s="99"/>
      <c r="EF119" s="99"/>
      <c r="EG119" s="99"/>
      <c r="EH119" s="99"/>
      <c r="EI119" s="99"/>
      <c r="EJ119" s="99"/>
      <c r="EK119" s="99"/>
      <c r="EL119" s="99"/>
      <c r="EM119" s="99"/>
      <c r="EN119" s="99"/>
      <c r="EO119" s="99"/>
      <c r="EP119" s="99"/>
      <c r="EQ119" s="99"/>
      <c r="ER119" s="99"/>
      <c r="ES119" s="99"/>
      <c r="ET119" s="99"/>
      <c r="EU119" s="99"/>
      <c r="EV119" s="99"/>
      <c r="EW119" s="99"/>
      <c r="EX119" s="99"/>
      <c r="EY119" s="99"/>
      <c r="EZ119" s="99"/>
      <c r="FA119" s="99"/>
      <c r="FB119" s="99"/>
      <c r="FC119" s="99"/>
      <c r="FD119" s="99"/>
      <c r="FE119" s="99"/>
      <c r="FF119" s="99"/>
      <c r="FG119" s="99"/>
      <c r="FH119" s="99"/>
      <c r="FI119" s="99"/>
      <c r="FJ119" s="99"/>
      <c r="FK119" s="99"/>
      <c r="FL119" s="99"/>
      <c r="FM119" s="99"/>
      <c r="FN119" s="99"/>
      <c r="FO119" s="99"/>
      <c r="FP119" s="99"/>
      <c r="FQ119" s="99"/>
      <c r="FR119" s="99"/>
      <c r="FS119" s="99"/>
      <c r="FT119" s="99"/>
      <c r="FU119" s="99"/>
      <c r="FV119" s="99"/>
      <c r="FW119" s="99"/>
      <c r="FX119" s="99"/>
      <c r="FY119" s="99"/>
      <c r="FZ119" s="99"/>
      <c r="GA119" s="99"/>
      <c r="GB119" s="99"/>
      <c r="GC119" s="99"/>
      <c r="GD119" s="99"/>
      <c r="GE119" s="99"/>
      <c r="GF119" s="99"/>
      <c r="GG119" s="99"/>
      <c r="GH119" s="99"/>
      <c r="GI119" s="99"/>
      <c r="GJ119" s="99"/>
      <c r="GK119" s="99"/>
      <c r="GL119" s="99"/>
      <c r="GM119" s="99"/>
      <c r="GN119" s="99"/>
      <c r="GO119" s="99"/>
      <c r="GP119" s="99"/>
      <c r="GQ119" s="99"/>
      <c r="GR119" s="99"/>
      <c r="GS119" s="99"/>
      <c r="GT119" s="99"/>
      <c r="GU119" s="99"/>
      <c r="GV119" s="99"/>
      <c r="GW119" s="99"/>
      <c r="GX119" s="99"/>
      <c r="GY119" s="99"/>
      <c r="GZ119" s="99"/>
      <c r="HA119" s="99"/>
      <c r="HB119" s="99"/>
      <c r="HC119" s="99"/>
      <c r="HD119" s="99"/>
      <c r="HE119" s="99"/>
      <c r="HF119" s="99"/>
      <c r="HG119" s="99"/>
      <c r="HH119" s="99"/>
      <c r="HI119" s="99"/>
      <c r="HJ119" s="99"/>
      <c r="HK119" s="99"/>
      <c r="HL119" s="99"/>
      <c r="HM119" s="99"/>
      <c r="HN119" s="99"/>
      <c r="HO119" s="99"/>
      <c r="HP119" s="99"/>
      <c r="HQ119" s="99"/>
      <c r="HR119" s="99"/>
      <c r="HS119" s="99"/>
      <c r="HT119" s="99"/>
      <c r="HU119" s="99"/>
      <c r="HV119" s="99"/>
      <c r="HW119" s="99"/>
      <c r="HX119" s="99"/>
      <c r="HY119" s="99"/>
      <c r="HZ119" s="99"/>
      <c r="IA119" s="99"/>
      <c r="IB119" s="99"/>
      <c r="IC119" s="99"/>
      <c r="ID119" s="99"/>
      <c r="IE119" s="99"/>
      <c r="IF119" s="99"/>
      <c r="IG119" s="99"/>
      <c r="IH119" s="99"/>
      <c r="IT119" s="112"/>
    </row>
    <row r="120" spans="1:254" ht="36" customHeight="1" thickBot="1">
      <c r="A120" s="463" t="s">
        <v>510</v>
      </c>
      <c r="B120" s="642" t="s">
        <v>35</v>
      </c>
      <c r="C120" s="642" t="s">
        <v>36</v>
      </c>
      <c r="D120" s="642" t="s">
        <v>37</v>
      </c>
      <c r="E120" s="642" t="s">
        <v>92</v>
      </c>
      <c r="F120" s="642" t="s">
        <v>18</v>
      </c>
      <c r="G120" s="645" t="s">
        <v>100</v>
      </c>
      <c r="H120" s="646"/>
      <c r="I120" s="646"/>
      <c r="J120" s="646"/>
      <c r="K120" s="646"/>
      <c r="L120" s="646"/>
      <c r="M120" s="646"/>
      <c r="N120" s="647"/>
      <c r="O120" s="134"/>
      <c r="P120" s="134"/>
      <c r="Q120" s="134"/>
      <c r="R120" s="134"/>
    </row>
    <row r="121" spans="1:254" ht="15.75" customHeight="1" thickBot="1">
      <c r="A121" s="463" t="s">
        <v>510</v>
      </c>
      <c r="B121" s="643"/>
      <c r="C121" s="643"/>
      <c r="D121" s="643"/>
      <c r="E121" s="643"/>
      <c r="F121" s="643"/>
      <c r="G121" s="645" t="s">
        <v>553</v>
      </c>
      <c r="H121" s="648"/>
      <c r="I121" s="645" t="s">
        <v>575</v>
      </c>
      <c r="J121" s="648"/>
      <c r="K121" s="645" t="s">
        <v>554</v>
      </c>
      <c r="L121" s="648"/>
      <c r="M121" s="645" t="s">
        <v>554</v>
      </c>
      <c r="N121" s="648"/>
      <c r="O121" s="134"/>
      <c r="P121" s="134"/>
      <c r="Q121" s="134"/>
      <c r="R121" s="134"/>
    </row>
    <row r="122" spans="1:254" ht="16.5" thickBot="1">
      <c r="A122" s="463" t="s">
        <v>510</v>
      </c>
      <c r="B122" s="644"/>
      <c r="C122" s="644"/>
      <c r="D122" s="644"/>
      <c r="E122" s="644"/>
      <c r="F122" s="644"/>
      <c r="G122" s="118" t="s">
        <v>38</v>
      </c>
      <c r="H122" s="118" t="s">
        <v>39</v>
      </c>
      <c r="I122" s="118" t="s">
        <v>38</v>
      </c>
      <c r="J122" s="118" t="s">
        <v>39</v>
      </c>
      <c r="K122" s="118" t="s">
        <v>38</v>
      </c>
      <c r="L122" s="118" t="s">
        <v>39</v>
      </c>
      <c r="M122" s="118" t="s">
        <v>38</v>
      </c>
      <c r="N122" s="118" t="s">
        <v>39</v>
      </c>
      <c r="O122" s="134"/>
      <c r="P122" s="134"/>
      <c r="Q122" s="134"/>
      <c r="R122" s="134"/>
    </row>
    <row r="123" spans="1:254">
      <c r="A123" s="463" t="s">
        <v>510</v>
      </c>
      <c r="B123" s="119" t="s">
        <v>115</v>
      </c>
      <c r="C123" s="120" t="s">
        <v>116</v>
      </c>
      <c r="D123" s="120" t="s">
        <v>117</v>
      </c>
      <c r="E123" s="120" t="s">
        <v>118</v>
      </c>
      <c r="F123" s="119" t="s">
        <v>119</v>
      </c>
      <c r="G123" s="121" t="s">
        <v>120</v>
      </c>
      <c r="H123" s="121" t="s">
        <v>121</v>
      </c>
      <c r="I123" s="122">
        <v>8</v>
      </c>
      <c r="J123" s="123">
        <v>9</v>
      </c>
      <c r="K123" s="124">
        <v>10</v>
      </c>
      <c r="L123" s="123">
        <v>11</v>
      </c>
      <c r="M123" s="124">
        <v>12</v>
      </c>
      <c r="N123" s="123">
        <v>13</v>
      </c>
      <c r="O123" s="125"/>
      <c r="P123" s="125"/>
      <c r="Q123" s="125"/>
      <c r="R123" s="125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  <c r="AY123" s="99"/>
      <c r="AZ123" s="99"/>
      <c r="BA123" s="99"/>
      <c r="BB123" s="99"/>
      <c r="BC123" s="99"/>
      <c r="BD123" s="99"/>
      <c r="BE123" s="99"/>
      <c r="BF123" s="99"/>
      <c r="BG123" s="99"/>
      <c r="BH123" s="99"/>
      <c r="BI123" s="99"/>
      <c r="BJ123" s="99"/>
      <c r="BK123" s="99"/>
      <c r="BL123" s="99"/>
      <c r="BM123" s="99"/>
      <c r="BN123" s="99"/>
      <c r="BO123" s="99"/>
      <c r="BP123" s="99"/>
      <c r="BQ123" s="99"/>
      <c r="BR123" s="99"/>
      <c r="BS123" s="99"/>
      <c r="BT123" s="99"/>
      <c r="BU123" s="99"/>
      <c r="BV123" s="99"/>
      <c r="BW123" s="99"/>
      <c r="BX123" s="99"/>
      <c r="BY123" s="99"/>
      <c r="BZ123" s="99"/>
      <c r="CA123" s="99"/>
      <c r="CB123" s="99"/>
      <c r="CC123" s="99"/>
      <c r="CD123" s="99"/>
      <c r="CE123" s="99"/>
      <c r="CF123" s="99"/>
      <c r="CG123" s="99"/>
      <c r="CH123" s="99"/>
      <c r="CI123" s="99"/>
      <c r="CJ123" s="99"/>
      <c r="CK123" s="99"/>
      <c r="CL123" s="99"/>
      <c r="CM123" s="99"/>
      <c r="CN123" s="99"/>
      <c r="CO123" s="99"/>
      <c r="CP123" s="99"/>
      <c r="CQ123" s="99"/>
      <c r="CR123" s="99"/>
      <c r="CS123" s="99"/>
      <c r="CT123" s="99"/>
      <c r="CU123" s="99"/>
      <c r="CV123" s="99"/>
      <c r="CW123" s="99"/>
      <c r="CX123" s="99"/>
      <c r="CY123" s="99"/>
      <c r="CZ123" s="99"/>
      <c r="DA123" s="99"/>
      <c r="DB123" s="99"/>
      <c r="DC123" s="99"/>
      <c r="DD123" s="99"/>
      <c r="DE123" s="99"/>
      <c r="DF123" s="99"/>
      <c r="DG123" s="99"/>
      <c r="DH123" s="99"/>
      <c r="DI123" s="99"/>
      <c r="DJ123" s="99"/>
      <c r="DK123" s="99"/>
      <c r="DL123" s="99"/>
      <c r="DM123" s="99"/>
      <c r="DN123" s="99"/>
      <c r="DO123" s="99"/>
      <c r="DP123" s="99"/>
      <c r="DQ123" s="99"/>
      <c r="DR123" s="99"/>
      <c r="DS123" s="99"/>
      <c r="DT123" s="99"/>
      <c r="DU123" s="99"/>
      <c r="DV123" s="99"/>
      <c r="DW123" s="99"/>
      <c r="DX123" s="99"/>
      <c r="DY123" s="99"/>
      <c r="DZ123" s="99"/>
      <c r="EA123" s="99"/>
      <c r="EB123" s="99"/>
      <c r="EC123" s="99"/>
      <c r="ED123" s="99"/>
      <c r="EE123" s="99"/>
      <c r="EF123" s="99"/>
      <c r="EG123" s="99"/>
      <c r="EH123" s="99"/>
      <c r="EI123" s="99"/>
      <c r="EJ123" s="99"/>
      <c r="EK123" s="99"/>
      <c r="EL123" s="99"/>
      <c r="EM123" s="99"/>
      <c r="EN123" s="99"/>
      <c r="EO123" s="99"/>
      <c r="EP123" s="99"/>
      <c r="EQ123" s="99"/>
      <c r="ER123" s="99"/>
      <c r="ES123" s="99"/>
      <c r="ET123" s="99"/>
      <c r="EU123" s="99"/>
      <c r="EV123" s="99"/>
      <c r="EW123" s="99"/>
      <c r="EX123" s="99"/>
      <c r="EY123" s="99"/>
      <c r="EZ123" s="99"/>
      <c r="FA123" s="99"/>
      <c r="FB123" s="99"/>
      <c r="FC123" s="99"/>
      <c r="FD123" s="99"/>
      <c r="FE123" s="99"/>
      <c r="FF123" s="99"/>
      <c r="FG123" s="99"/>
      <c r="FH123" s="99"/>
      <c r="FI123" s="99"/>
      <c r="FJ123" s="99"/>
      <c r="FK123" s="99"/>
      <c r="FL123" s="99"/>
      <c r="FM123" s="99"/>
      <c r="FN123" s="99"/>
      <c r="FO123" s="99"/>
      <c r="FP123" s="99"/>
      <c r="FQ123" s="99"/>
      <c r="FR123" s="99"/>
      <c r="FS123" s="99"/>
      <c r="FT123" s="99"/>
      <c r="FU123" s="99"/>
      <c r="FV123" s="99"/>
      <c r="FW123" s="99"/>
      <c r="FX123" s="99"/>
      <c r="FY123" s="99"/>
      <c r="FZ123" s="99"/>
      <c r="GA123" s="99"/>
      <c r="GB123" s="99"/>
      <c r="GC123" s="99"/>
      <c r="GD123" s="99"/>
      <c r="GE123" s="99"/>
      <c r="GF123" s="99"/>
      <c r="GG123" s="99"/>
      <c r="GH123" s="99"/>
      <c r="GI123" s="99"/>
      <c r="GJ123" s="99"/>
      <c r="GK123" s="99"/>
      <c r="GL123" s="99"/>
      <c r="GM123" s="99"/>
      <c r="GN123" s="99"/>
      <c r="GO123" s="99"/>
      <c r="GP123" s="99"/>
      <c r="GQ123" s="99"/>
      <c r="GR123" s="99"/>
      <c r="GS123" s="99"/>
      <c r="GT123" s="99"/>
      <c r="GU123" s="99"/>
      <c r="GV123" s="99"/>
      <c r="GW123" s="99"/>
      <c r="GX123" s="99"/>
      <c r="GY123" s="99"/>
      <c r="GZ123" s="99"/>
      <c r="HA123" s="99"/>
      <c r="HB123" s="99"/>
      <c r="HC123" s="99"/>
      <c r="HD123" s="99"/>
      <c r="HE123" s="99"/>
      <c r="HF123" s="99"/>
      <c r="HG123" s="99"/>
      <c r="HH123" s="99"/>
      <c r="HI123" s="99"/>
      <c r="HJ123" s="99"/>
      <c r="HK123" s="99"/>
      <c r="HL123" s="99"/>
      <c r="HM123" s="99"/>
      <c r="HN123" s="99"/>
      <c r="HO123" s="99"/>
      <c r="HP123" s="99"/>
      <c r="HQ123" s="99"/>
      <c r="HR123" s="99"/>
      <c r="HS123" s="99"/>
      <c r="HT123" s="99"/>
      <c r="HU123" s="99"/>
      <c r="HV123" s="99"/>
      <c r="HW123" s="99"/>
      <c r="HX123" s="99"/>
      <c r="HY123" s="99"/>
      <c r="HZ123" s="99"/>
      <c r="IA123" s="99"/>
      <c r="IB123" s="99"/>
      <c r="IC123" s="99"/>
      <c r="ID123" s="99"/>
      <c r="IE123" s="99"/>
      <c r="IF123" s="99"/>
      <c r="IG123" s="99"/>
      <c r="IH123" s="99"/>
      <c r="II123" s="99"/>
      <c r="IJ123" s="99"/>
    </row>
    <row r="124" spans="1:254" ht="94.5">
      <c r="A124" s="164"/>
      <c r="B124" s="186" t="s">
        <v>328</v>
      </c>
      <c r="C124" s="351" t="s">
        <v>333</v>
      </c>
      <c r="D124" s="136" t="s">
        <v>563</v>
      </c>
      <c r="E124" s="352">
        <v>7.4429999999999996</v>
      </c>
      <c r="F124" s="337"/>
      <c r="G124" s="159" t="s">
        <v>264</v>
      </c>
      <c r="H124" s="352">
        <v>7.4429999999999996</v>
      </c>
      <c r="I124" s="159" t="s">
        <v>264</v>
      </c>
      <c r="J124" s="352">
        <v>7.4429999999999996</v>
      </c>
      <c r="K124" s="354"/>
      <c r="L124" s="353"/>
      <c r="M124" s="354"/>
      <c r="N124" s="353"/>
      <c r="O124" s="311">
        <f>O115*65.2+P115*63.9+0.12*0.12*12+0.00083*4*12.7</f>
        <v>7.3326199999999995</v>
      </c>
      <c r="P124" s="311">
        <f>Q115*65.2+P115*63.9+0.12*0.12*12+0.00083*4*12.7</f>
        <v>7.4421559999999998</v>
      </c>
      <c r="Q124" s="99">
        <f>P124-O124</f>
        <v>0.1095360000000003</v>
      </c>
      <c r="R124" s="99"/>
      <c r="S124" s="99">
        <f>7.333+0.11</f>
        <v>7.4430000000000005</v>
      </c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  <c r="AY124" s="99"/>
      <c r="AZ124" s="99"/>
      <c r="BA124" s="99"/>
      <c r="BB124" s="99"/>
      <c r="BC124" s="99"/>
      <c r="BD124" s="99"/>
      <c r="BE124" s="99"/>
      <c r="BF124" s="99"/>
      <c r="BG124" s="99"/>
      <c r="BH124" s="99"/>
      <c r="BI124" s="99"/>
      <c r="BJ124" s="99"/>
      <c r="BK124" s="99"/>
      <c r="BL124" s="99"/>
      <c r="BM124" s="99"/>
      <c r="BN124" s="99"/>
      <c r="BO124" s="99"/>
      <c r="BP124" s="99"/>
      <c r="BQ124" s="99"/>
      <c r="BR124" s="99"/>
      <c r="BS124" s="99"/>
      <c r="BT124" s="99"/>
      <c r="BU124" s="99"/>
      <c r="BV124" s="99"/>
      <c r="BW124" s="99"/>
      <c r="BX124" s="99"/>
      <c r="BY124" s="99"/>
      <c r="BZ124" s="99"/>
      <c r="CA124" s="99"/>
      <c r="CB124" s="99"/>
      <c r="CC124" s="99"/>
      <c r="CD124" s="99"/>
      <c r="CE124" s="99"/>
      <c r="CF124" s="99"/>
      <c r="CG124" s="99"/>
      <c r="CH124" s="99"/>
      <c r="CI124" s="99"/>
      <c r="CJ124" s="99"/>
      <c r="CK124" s="99"/>
      <c r="CL124" s="99"/>
      <c r="CM124" s="99"/>
      <c r="CN124" s="99"/>
      <c r="CO124" s="99"/>
      <c r="CP124" s="99"/>
      <c r="CQ124" s="99"/>
      <c r="CR124" s="99"/>
      <c r="CS124" s="99"/>
      <c r="CT124" s="99"/>
      <c r="CU124" s="99"/>
      <c r="CV124" s="99"/>
      <c r="CW124" s="99"/>
      <c r="CX124" s="99"/>
      <c r="CY124" s="99"/>
      <c r="CZ124" s="99"/>
      <c r="DA124" s="99"/>
      <c r="DB124" s="99"/>
      <c r="DC124" s="99"/>
      <c r="DD124" s="99"/>
      <c r="DE124" s="99"/>
      <c r="DF124" s="99"/>
      <c r="DG124" s="99"/>
      <c r="DH124" s="99"/>
      <c r="DI124" s="99"/>
      <c r="DJ124" s="99"/>
      <c r="DK124" s="99"/>
      <c r="DL124" s="99"/>
      <c r="DM124" s="99"/>
      <c r="DN124" s="99"/>
      <c r="DO124" s="99"/>
      <c r="DP124" s="99"/>
      <c r="DQ124" s="99"/>
      <c r="DR124" s="99"/>
      <c r="DS124" s="99"/>
      <c r="DT124" s="99"/>
      <c r="DU124" s="99"/>
      <c r="DV124" s="99"/>
      <c r="DW124" s="99"/>
      <c r="DX124" s="99"/>
      <c r="DY124" s="99"/>
      <c r="DZ124" s="99"/>
      <c r="EA124" s="99"/>
      <c r="EB124" s="99"/>
      <c r="EC124" s="99"/>
      <c r="ED124" s="99"/>
      <c r="EE124" s="99"/>
      <c r="EF124" s="99"/>
      <c r="EG124" s="99"/>
      <c r="EH124" s="99"/>
      <c r="EI124" s="99"/>
      <c r="EJ124" s="99"/>
      <c r="EK124" s="99"/>
      <c r="EL124" s="99"/>
      <c r="EM124" s="99"/>
      <c r="EN124" s="99"/>
      <c r="EO124" s="99"/>
      <c r="EP124" s="99"/>
      <c r="EQ124" s="99"/>
      <c r="ER124" s="99"/>
      <c r="ES124" s="99"/>
      <c r="ET124" s="99"/>
      <c r="EU124" s="99"/>
      <c r="EV124" s="99"/>
      <c r="EW124" s="99"/>
      <c r="EX124" s="99"/>
      <c r="EY124" s="99"/>
      <c r="EZ124" s="99"/>
      <c r="FA124" s="99"/>
      <c r="FB124" s="99"/>
      <c r="FC124" s="99"/>
      <c r="FD124" s="99"/>
      <c r="FE124" s="99"/>
      <c r="FF124" s="99"/>
      <c r="FG124" s="99"/>
      <c r="FH124" s="99"/>
      <c r="FI124" s="99"/>
      <c r="FJ124" s="99"/>
      <c r="FK124" s="99"/>
      <c r="FL124" s="99"/>
      <c r="FM124" s="99"/>
      <c r="FN124" s="99"/>
      <c r="FO124" s="99"/>
      <c r="FP124" s="99"/>
      <c r="FQ124" s="99"/>
      <c r="FR124" s="99"/>
      <c r="FS124" s="99"/>
      <c r="FT124" s="99"/>
      <c r="FU124" s="99"/>
      <c r="FV124" s="99"/>
      <c r="FW124" s="99"/>
      <c r="FX124" s="99"/>
      <c r="FY124" s="99"/>
      <c r="FZ124" s="99"/>
      <c r="GA124" s="99"/>
      <c r="GB124" s="99"/>
      <c r="GC124" s="99"/>
      <c r="GD124" s="99"/>
      <c r="GE124" s="99"/>
      <c r="GF124" s="99"/>
      <c r="GG124" s="99"/>
      <c r="GH124" s="99"/>
      <c r="GI124" s="99"/>
      <c r="GJ124" s="99"/>
      <c r="GK124" s="99"/>
      <c r="GL124" s="99"/>
      <c r="GM124" s="99"/>
      <c r="GN124" s="99"/>
      <c r="GO124" s="99"/>
      <c r="GP124" s="99"/>
      <c r="GQ124" s="99"/>
      <c r="GR124" s="99"/>
      <c r="GS124" s="99"/>
      <c r="GT124" s="99"/>
      <c r="GU124" s="99"/>
      <c r="GV124" s="99"/>
      <c r="GW124" s="99"/>
      <c r="GX124" s="99"/>
      <c r="GY124" s="99"/>
      <c r="GZ124" s="99"/>
      <c r="HA124" s="99"/>
      <c r="HB124" s="99"/>
      <c r="HC124" s="99"/>
      <c r="HD124" s="99"/>
      <c r="HE124" s="99"/>
      <c r="HF124" s="99"/>
      <c r="HG124" s="99"/>
      <c r="HH124" s="99"/>
      <c r="HI124" s="99"/>
      <c r="HJ124" s="99"/>
      <c r="HK124" s="99"/>
      <c r="HL124" s="99"/>
      <c r="HM124" s="99"/>
      <c r="HN124" s="99"/>
      <c r="HO124" s="99"/>
      <c r="HP124" s="99"/>
      <c r="HQ124" s="99"/>
      <c r="HR124" s="99"/>
      <c r="HS124" s="99"/>
      <c r="HT124" s="99"/>
      <c r="HU124" s="99"/>
      <c r="HV124" s="99"/>
      <c r="HW124" s="99"/>
      <c r="HX124" s="99"/>
      <c r="HY124" s="99"/>
      <c r="HZ124" s="99"/>
      <c r="IA124" s="99"/>
      <c r="IB124" s="99"/>
      <c r="IC124" s="99"/>
      <c r="ID124" s="99"/>
      <c r="IE124" s="99"/>
      <c r="IF124" s="99"/>
      <c r="IG124" s="99"/>
      <c r="IH124" s="99"/>
      <c r="IT124" s="112"/>
    </row>
    <row r="125" spans="1:254" ht="63">
      <c r="A125" s="164"/>
      <c r="B125" s="186" t="s">
        <v>334</v>
      </c>
      <c r="C125" s="336" t="s">
        <v>336</v>
      </c>
      <c r="D125" s="136" t="s">
        <v>566</v>
      </c>
      <c r="E125" s="338" t="s">
        <v>387</v>
      </c>
      <c r="F125" s="337"/>
      <c r="G125" s="136" t="s">
        <v>557</v>
      </c>
      <c r="H125" s="338" t="s">
        <v>387</v>
      </c>
      <c r="I125" s="136" t="s">
        <v>557</v>
      </c>
      <c r="J125" s="338" t="s">
        <v>387</v>
      </c>
      <c r="K125" s="252"/>
      <c r="L125" s="338"/>
      <c r="M125" s="252"/>
      <c r="N125" s="338"/>
      <c r="O125" s="311">
        <f>3*0.23*2+2.36*0.23*2+1.7*0.45*1+1.7*0.23+3*0.63*2+2.36*0.63*2+2.16*0.63*2</f>
        <v>13.0968</v>
      </c>
      <c r="P125" s="312">
        <f>(2*14.71+2*11.57+1*8.72+1*4.46+2*21.55+2*16.95+2*18.39)/1000</f>
        <v>0.17952000000000001</v>
      </c>
      <c r="Q125" s="311">
        <f>3*0.43*2+2.425*0.43*2+1.7*0.465*1+1.7*0.28+3*0.63*2+2.425*0.63*2+2.56*0.63*2</f>
        <v>15.9931</v>
      </c>
      <c r="R125" s="312">
        <f>(2*14.06+2*11.36+1*8.62+1*5.19+2*20.6+2*16.65+2*17.58)/1000</f>
        <v>0.17430999999999999</v>
      </c>
      <c r="S125" s="99">
        <f>Q125-O125</f>
        <v>2.8963000000000001</v>
      </c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  <c r="AY125" s="99"/>
      <c r="AZ125" s="99"/>
      <c r="BA125" s="99"/>
      <c r="BB125" s="99"/>
      <c r="BC125" s="99"/>
      <c r="BD125" s="99"/>
      <c r="BE125" s="99"/>
      <c r="BF125" s="99"/>
      <c r="BG125" s="99"/>
      <c r="BH125" s="99"/>
      <c r="BI125" s="99"/>
      <c r="BJ125" s="99"/>
      <c r="BK125" s="99"/>
      <c r="BL125" s="99"/>
      <c r="BM125" s="99"/>
      <c r="BN125" s="99"/>
      <c r="BO125" s="99"/>
      <c r="BP125" s="99"/>
      <c r="BQ125" s="99"/>
      <c r="BR125" s="99"/>
      <c r="BS125" s="99"/>
      <c r="BT125" s="99"/>
      <c r="BU125" s="99"/>
      <c r="BV125" s="99"/>
      <c r="BW125" s="99"/>
      <c r="BX125" s="99"/>
      <c r="BY125" s="99"/>
      <c r="BZ125" s="99"/>
      <c r="CA125" s="99"/>
      <c r="CB125" s="99"/>
      <c r="CC125" s="99"/>
      <c r="CD125" s="99"/>
      <c r="CE125" s="99"/>
      <c r="CF125" s="99"/>
      <c r="CG125" s="99"/>
      <c r="CH125" s="99"/>
      <c r="CI125" s="99"/>
      <c r="CJ125" s="99"/>
      <c r="CK125" s="99"/>
      <c r="CL125" s="99"/>
      <c r="CM125" s="99"/>
      <c r="CN125" s="99"/>
      <c r="CO125" s="99"/>
      <c r="CP125" s="99"/>
      <c r="CQ125" s="99"/>
      <c r="CR125" s="99"/>
      <c r="CS125" s="99"/>
      <c r="CT125" s="99"/>
      <c r="CU125" s="99"/>
      <c r="CV125" s="99"/>
      <c r="CW125" s="99"/>
      <c r="CX125" s="99"/>
      <c r="CY125" s="99"/>
      <c r="CZ125" s="99"/>
      <c r="DA125" s="99"/>
      <c r="DB125" s="99"/>
      <c r="DC125" s="99"/>
      <c r="DD125" s="99"/>
      <c r="DE125" s="99"/>
      <c r="DF125" s="99"/>
      <c r="DG125" s="99"/>
      <c r="DH125" s="99"/>
      <c r="DI125" s="99"/>
      <c r="DJ125" s="99"/>
      <c r="DK125" s="99"/>
      <c r="DL125" s="99"/>
      <c r="DM125" s="99"/>
      <c r="DN125" s="99"/>
      <c r="DO125" s="99"/>
      <c r="DP125" s="99"/>
      <c r="DQ125" s="99"/>
      <c r="DR125" s="99"/>
      <c r="DS125" s="99"/>
      <c r="DT125" s="99"/>
      <c r="DU125" s="99"/>
      <c r="DV125" s="99"/>
      <c r="DW125" s="99"/>
      <c r="DX125" s="99"/>
      <c r="DY125" s="99"/>
      <c r="DZ125" s="99"/>
      <c r="EA125" s="99"/>
      <c r="EB125" s="99"/>
      <c r="EC125" s="99"/>
      <c r="ED125" s="99"/>
      <c r="EE125" s="99"/>
      <c r="EF125" s="99"/>
      <c r="EG125" s="99"/>
      <c r="EH125" s="99"/>
      <c r="EI125" s="99"/>
      <c r="EJ125" s="99"/>
      <c r="EK125" s="99"/>
      <c r="EL125" s="99"/>
      <c r="EM125" s="99"/>
      <c r="EN125" s="99"/>
      <c r="EO125" s="99"/>
      <c r="EP125" s="99"/>
      <c r="EQ125" s="99"/>
      <c r="ER125" s="99"/>
      <c r="ES125" s="99"/>
      <c r="ET125" s="99"/>
      <c r="EU125" s="99"/>
      <c r="EV125" s="99"/>
      <c r="EW125" s="99"/>
      <c r="EX125" s="99"/>
      <c r="EY125" s="99"/>
      <c r="EZ125" s="99"/>
      <c r="FA125" s="99"/>
      <c r="FB125" s="99"/>
      <c r="FC125" s="99"/>
      <c r="FD125" s="99"/>
      <c r="FE125" s="99"/>
      <c r="FF125" s="99"/>
      <c r="FG125" s="99"/>
      <c r="FH125" s="99"/>
      <c r="FI125" s="99"/>
      <c r="FJ125" s="99"/>
      <c r="FK125" s="99"/>
      <c r="FL125" s="99"/>
      <c r="FM125" s="99"/>
      <c r="FN125" s="99"/>
      <c r="FO125" s="99"/>
      <c r="FP125" s="99"/>
      <c r="FQ125" s="99"/>
      <c r="FR125" s="99"/>
      <c r="FS125" s="99"/>
      <c r="FT125" s="99"/>
      <c r="FU125" s="99"/>
      <c r="FV125" s="99"/>
      <c r="FW125" s="99"/>
      <c r="FX125" s="99"/>
      <c r="FY125" s="99"/>
      <c r="FZ125" s="99"/>
      <c r="GA125" s="99"/>
      <c r="GB125" s="99"/>
      <c r="GC125" s="99"/>
      <c r="GD125" s="99"/>
      <c r="GE125" s="99"/>
      <c r="GF125" s="99"/>
      <c r="GG125" s="99"/>
      <c r="GH125" s="99"/>
      <c r="GI125" s="99"/>
      <c r="GJ125" s="99"/>
      <c r="GK125" s="99"/>
      <c r="GL125" s="99"/>
      <c r="GM125" s="99"/>
      <c r="GN125" s="99"/>
      <c r="GO125" s="99"/>
      <c r="GP125" s="99"/>
      <c r="GQ125" s="99"/>
      <c r="GR125" s="99"/>
      <c r="GS125" s="99"/>
      <c r="GT125" s="99"/>
      <c r="GU125" s="99"/>
      <c r="GV125" s="99"/>
      <c r="GW125" s="99"/>
      <c r="GX125" s="99"/>
      <c r="GY125" s="99"/>
      <c r="GZ125" s="99"/>
      <c r="HA125" s="99"/>
      <c r="HB125" s="99"/>
      <c r="HC125" s="99"/>
      <c r="HD125" s="99"/>
      <c r="HE125" s="99"/>
      <c r="HF125" s="99"/>
      <c r="HG125" s="99"/>
      <c r="HH125" s="99"/>
      <c r="HI125" s="99"/>
      <c r="HJ125" s="99"/>
      <c r="HK125" s="99"/>
      <c r="HL125" s="99"/>
      <c r="HM125" s="99"/>
      <c r="HN125" s="99"/>
      <c r="HO125" s="99"/>
      <c r="HP125" s="99"/>
      <c r="HQ125" s="99"/>
      <c r="HR125" s="99"/>
      <c r="HS125" s="99"/>
      <c r="HT125" s="99"/>
      <c r="HU125" s="99"/>
      <c r="HV125" s="99"/>
      <c r="HW125" s="99"/>
      <c r="HX125" s="99"/>
      <c r="HY125" s="99"/>
      <c r="HZ125" s="99"/>
      <c r="IA125" s="99"/>
      <c r="IB125" s="99"/>
      <c r="IC125" s="99"/>
      <c r="ID125" s="99"/>
      <c r="IE125" s="99"/>
      <c r="IF125" s="99"/>
      <c r="IG125" s="99"/>
      <c r="IH125" s="99"/>
      <c r="IT125" s="112"/>
    </row>
    <row r="126" spans="1:254" ht="31.5">
      <c r="A126" s="164"/>
      <c r="B126" s="185" t="s">
        <v>339</v>
      </c>
      <c r="C126" s="339" t="s">
        <v>337</v>
      </c>
      <c r="D126" s="155" t="s">
        <v>338</v>
      </c>
      <c r="E126" s="341" t="s">
        <v>385</v>
      </c>
      <c r="F126" s="340"/>
      <c r="G126" s="137" t="s">
        <v>557</v>
      </c>
      <c r="H126" s="341" t="s">
        <v>385</v>
      </c>
      <c r="I126" s="137" t="s">
        <v>557</v>
      </c>
      <c r="J126" s="341" t="s">
        <v>385</v>
      </c>
      <c r="K126" s="252"/>
      <c r="L126" s="341"/>
      <c r="M126" s="252"/>
      <c r="N126" s="341"/>
      <c r="O126" s="311">
        <v>32.6</v>
      </c>
      <c r="P126" s="312">
        <f>O126*1.225/1000</f>
        <v>3.9935000000000005E-2</v>
      </c>
      <c r="Q126" s="99">
        <v>34.479999999999997</v>
      </c>
      <c r="R126" s="312">
        <f>Q126*1.225/1000</f>
        <v>4.2237999999999998E-2</v>
      </c>
      <c r="S126" s="99">
        <f>Q126-O126</f>
        <v>1.8799999999999955</v>
      </c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  <c r="AY126" s="99"/>
      <c r="AZ126" s="99"/>
      <c r="BA126" s="99"/>
      <c r="BB126" s="99"/>
      <c r="BC126" s="99"/>
      <c r="BD126" s="99"/>
      <c r="BE126" s="99"/>
      <c r="BF126" s="99"/>
      <c r="BG126" s="99"/>
      <c r="BH126" s="99"/>
      <c r="BI126" s="99"/>
      <c r="BJ126" s="99"/>
      <c r="BK126" s="99"/>
      <c r="BL126" s="99"/>
      <c r="BM126" s="99"/>
      <c r="BN126" s="99"/>
      <c r="BO126" s="99"/>
      <c r="BP126" s="99"/>
      <c r="BQ126" s="99"/>
      <c r="BR126" s="99"/>
      <c r="BS126" s="99"/>
      <c r="BT126" s="99"/>
      <c r="BU126" s="99"/>
      <c r="BV126" s="99"/>
      <c r="BW126" s="99"/>
      <c r="BX126" s="99"/>
      <c r="BY126" s="99"/>
      <c r="BZ126" s="99"/>
      <c r="CA126" s="99"/>
      <c r="CB126" s="99"/>
      <c r="CC126" s="99"/>
      <c r="CD126" s="99"/>
      <c r="CE126" s="99"/>
      <c r="CF126" s="99"/>
      <c r="CG126" s="99"/>
      <c r="CH126" s="99"/>
      <c r="CI126" s="99"/>
      <c r="CJ126" s="99"/>
      <c r="CK126" s="99"/>
      <c r="CL126" s="99"/>
      <c r="CM126" s="99"/>
      <c r="CN126" s="99"/>
      <c r="CO126" s="99"/>
      <c r="CP126" s="99"/>
      <c r="CQ126" s="99"/>
      <c r="CR126" s="99"/>
      <c r="CS126" s="99"/>
      <c r="CT126" s="99"/>
      <c r="CU126" s="99"/>
      <c r="CV126" s="99"/>
      <c r="CW126" s="99"/>
      <c r="CX126" s="99"/>
      <c r="CY126" s="99"/>
      <c r="CZ126" s="99"/>
      <c r="DA126" s="99"/>
      <c r="DB126" s="99"/>
      <c r="DC126" s="99"/>
      <c r="DD126" s="99"/>
      <c r="DE126" s="99"/>
      <c r="DF126" s="99"/>
      <c r="DG126" s="99"/>
      <c r="DH126" s="99"/>
      <c r="DI126" s="99"/>
      <c r="DJ126" s="99"/>
      <c r="DK126" s="99"/>
      <c r="DL126" s="99"/>
      <c r="DM126" s="99"/>
      <c r="DN126" s="99"/>
      <c r="DO126" s="99"/>
      <c r="DP126" s="99"/>
      <c r="DQ126" s="99"/>
      <c r="DR126" s="99"/>
      <c r="DS126" s="99"/>
      <c r="DT126" s="99"/>
      <c r="DU126" s="99"/>
      <c r="DV126" s="99"/>
      <c r="DW126" s="99"/>
      <c r="DX126" s="99"/>
      <c r="DY126" s="99"/>
      <c r="DZ126" s="99"/>
      <c r="EA126" s="99"/>
      <c r="EB126" s="99"/>
      <c r="EC126" s="99"/>
      <c r="ED126" s="99"/>
      <c r="EE126" s="99"/>
      <c r="EF126" s="99"/>
      <c r="EG126" s="99"/>
      <c r="EH126" s="99"/>
      <c r="EI126" s="99"/>
      <c r="EJ126" s="99"/>
      <c r="EK126" s="99"/>
      <c r="EL126" s="99"/>
      <c r="EM126" s="99"/>
      <c r="EN126" s="99"/>
      <c r="EO126" s="99"/>
      <c r="EP126" s="99"/>
      <c r="EQ126" s="99"/>
      <c r="ER126" s="99"/>
      <c r="ES126" s="99"/>
      <c r="ET126" s="99"/>
      <c r="EU126" s="99"/>
      <c r="EV126" s="99"/>
      <c r="EW126" s="99"/>
      <c r="EX126" s="99"/>
      <c r="EY126" s="99"/>
      <c r="EZ126" s="99"/>
      <c r="FA126" s="99"/>
      <c r="FB126" s="99"/>
      <c r="FC126" s="99"/>
      <c r="FD126" s="99"/>
      <c r="FE126" s="99"/>
      <c r="FF126" s="99"/>
      <c r="FG126" s="99"/>
      <c r="FH126" s="99"/>
      <c r="FI126" s="99"/>
      <c r="FJ126" s="99"/>
      <c r="FK126" s="99"/>
      <c r="FL126" s="99"/>
      <c r="FM126" s="99"/>
      <c r="FN126" s="99"/>
      <c r="FO126" s="99"/>
      <c r="FP126" s="99"/>
      <c r="FQ126" s="99"/>
      <c r="FR126" s="99"/>
      <c r="FS126" s="99"/>
      <c r="FT126" s="99"/>
      <c r="FU126" s="99"/>
      <c r="FV126" s="99"/>
      <c r="FW126" s="99"/>
      <c r="FX126" s="99"/>
      <c r="FY126" s="99"/>
      <c r="FZ126" s="99"/>
      <c r="GA126" s="99"/>
      <c r="GB126" s="99"/>
      <c r="GC126" s="99"/>
      <c r="GD126" s="99"/>
      <c r="GE126" s="99"/>
      <c r="GF126" s="99"/>
      <c r="GG126" s="99"/>
      <c r="GH126" s="99"/>
      <c r="GI126" s="99"/>
      <c r="GJ126" s="99"/>
      <c r="GK126" s="99"/>
      <c r="GL126" s="99"/>
      <c r="GM126" s="99"/>
      <c r="GN126" s="99"/>
      <c r="GO126" s="99"/>
      <c r="GP126" s="99"/>
      <c r="GQ126" s="99"/>
      <c r="GR126" s="99"/>
      <c r="GS126" s="99"/>
      <c r="GT126" s="99"/>
      <c r="GU126" s="99"/>
      <c r="GV126" s="99"/>
      <c r="GW126" s="99"/>
      <c r="GX126" s="99"/>
      <c r="GY126" s="99"/>
      <c r="GZ126" s="99"/>
      <c r="HA126" s="99"/>
      <c r="HB126" s="99"/>
      <c r="HC126" s="99"/>
      <c r="HD126" s="99"/>
      <c r="HE126" s="99"/>
      <c r="HF126" s="99"/>
      <c r="HG126" s="99"/>
      <c r="HH126" s="99"/>
      <c r="HI126" s="99"/>
      <c r="HJ126" s="99"/>
      <c r="HK126" s="99"/>
      <c r="HL126" s="99"/>
      <c r="HM126" s="99"/>
      <c r="HN126" s="99"/>
      <c r="HO126" s="99"/>
      <c r="HP126" s="99"/>
      <c r="HQ126" s="99"/>
      <c r="HR126" s="99"/>
      <c r="HS126" s="99"/>
      <c r="HT126" s="99"/>
      <c r="HU126" s="99"/>
      <c r="HV126" s="99"/>
      <c r="HW126" s="99"/>
      <c r="HX126" s="99"/>
      <c r="HY126" s="99"/>
      <c r="HZ126" s="99"/>
      <c r="IA126" s="99"/>
      <c r="IB126" s="99"/>
      <c r="IC126" s="99"/>
      <c r="ID126" s="99"/>
      <c r="IE126" s="99"/>
      <c r="IF126" s="99"/>
      <c r="IG126" s="99"/>
      <c r="IH126" s="99"/>
      <c r="IT126" s="112"/>
    </row>
    <row r="127" spans="1:254" ht="31.5">
      <c r="A127" s="164"/>
      <c r="B127" s="207" t="s">
        <v>207</v>
      </c>
      <c r="C127" s="260" t="s">
        <v>386</v>
      </c>
      <c r="D127" s="137" t="s">
        <v>165</v>
      </c>
      <c r="E127" s="226" t="s">
        <v>335</v>
      </c>
      <c r="F127" s="165"/>
      <c r="G127" s="137" t="s">
        <v>557</v>
      </c>
      <c r="H127" s="226" t="s">
        <v>335</v>
      </c>
      <c r="I127" s="137" t="s">
        <v>557</v>
      </c>
      <c r="J127" s="226" t="s">
        <v>335</v>
      </c>
      <c r="K127" s="252"/>
      <c r="L127" s="226"/>
      <c r="M127" s="252"/>
      <c r="N127" s="226"/>
      <c r="O127" s="166">
        <f>(10.9*8)/1000</f>
        <v>8.72E-2</v>
      </c>
      <c r="P127" s="99">
        <f>0.36*5.2*2+0.5*5.2*2+2.5*0.5*2+2.5*0.36*2</f>
        <v>13.244</v>
      </c>
      <c r="Q127" s="99">
        <f>P127/(1*2)</f>
        <v>6.6219999999999999</v>
      </c>
      <c r="R127" s="99">
        <f>66.88/4</f>
        <v>16.72</v>
      </c>
      <c r="S127" s="99">
        <f>17*10.9</f>
        <v>185.3</v>
      </c>
      <c r="T127" s="99">
        <f>0.186-0.087</f>
        <v>9.9000000000000005E-2</v>
      </c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  <c r="CM127" s="99"/>
      <c r="CN127" s="99"/>
      <c r="CO127" s="99"/>
      <c r="CP127" s="99"/>
      <c r="CQ127" s="99"/>
      <c r="CR127" s="99"/>
      <c r="CS127" s="99"/>
      <c r="CT127" s="99"/>
      <c r="CU127" s="99"/>
      <c r="CV127" s="99"/>
      <c r="CW127" s="99"/>
      <c r="CX127" s="99"/>
      <c r="CY127" s="99"/>
      <c r="CZ127" s="99"/>
      <c r="DA127" s="99"/>
      <c r="DB127" s="99"/>
      <c r="DC127" s="99"/>
      <c r="DD127" s="99"/>
      <c r="DE127" s="99"/>
      <c r="DF127" s="99"/>
      <c r="DG127" s="99"/>
      <c r="DH127" s="99"/>
      <c r="DI127" s="99"/>
      <c r="DJ127" s="99"/>
      <c r="DK127" s="99"/>
      <c r="DL127" s="99"/>
      <c r="DM127" s="99"/>
      <c r="DN127" s="99"/>
      <c r="DO127" s="99"/>
      <c r="DP127" s="99"/>
      <c r="DQ127" s="99"/>
      <c r="DR127" s="99"/>
      <c r="DS127" s="99"/>
      <c r="DT127" s="99"/>
      <c r="DU127" s="99"/>
      <c r="DV127" s="99"/>
      <c r="DW127" s="99"/>
      <c r="DX127" s="99"/>
      <c r="DY127" s="99"/>
      <c r="DZ127" s="99"/>
      <c r="EA127" s="99"/>
      <c r="EB127" s="99"/>
      <c r="EC127" s="99"/>
      <c r="ED127" s="99"/>
      <c r="EE127" s="99"/>
      <c r="EF127" s="99"/>
      <c r="EG127" s="99"/>
      <c r="EH127" s="99"/>
      <c r="EI127" s="99"/>
      <c r="EJ127" s="99"/>
      <c r="EK127" s="99"/>
      <c r="EL127" s="99"/>
      <c r="EM127" s="99"/>
      <c r="EN127" s="99"/>
      <c r="EO127" s="99"/>
      <c r="EP127" s="99"/>
      <c r="EQ127" s="99"/>
      <c r="ER127" s="99"/>
      <c r="ES127" s="99"/>
      <c r="ET127" s="99"/>
      <c r="EU127" s="99"/>
      <c r="EV127" s="99"/>
      <c r="EW127" s="99"/>
      <c r="EX127" s="99"/>
      <c r="EY127" s="99"/>
      <c r="EZ127" s="99"/>
      <c r="FA127" s="99"/>
      <c r="FB127" s="99"/>
      <c r="FC127" s="99"/>
      <c r="FD127" s="99"/>
      <c r="FE127" s="99"/>
      <c r="FF127" s="99"/>
      <c r="FG127" s="99"/>
      <c r="FH127" s="99"/>
      <c r="FI127" s="99"/>
      <c r="FJ127" s="99"/>
      <c r="FK127" s="99"/>
      <c r="FL127" s="99"/>
      <c r="FM127" s="99"/>
      <c r="FN127" s="99"/>
      <c r="FO127" s="99"/>
      <c r="FP127" s="99"/>
      <c r="FQ127" s="99"/>
      <c r="FR127" s="99"/>
      <c r="FS127" s="99"/>
      <c r="FT127" s="99"/>
      <c r="FU127" s="99"/>
      <c r="FV127" s="99"/>
      <c r="FW127" s="99"/>
      <c r="FX127" s="99"/>
      <c r="FY127" s="99"/>
      <c r="FZ127" s="99"/>
      <c r="GA127" s="99"/>
      <c r="GB127" s="99"/>
      <c r="GC127" s="99"/>
      <c r="GD127" s="99"/>
      <c r="GE127" s="99"/>
      <c r="GF127" s="99"/>
      <c r="GG127" s="99"/>
      <c r="GH127" s="99"/>
      <c r="GI127" s="99"/>
      <c r="GJ127" s="99"/>
      <c r="GK127" s="99"/>
      <c r="GL127" s="99"/>
      <c r="GM127" s="99"/>
      <c r="GN127" s="99"/>
      <c r="GO127" s="99"/>
      <c r="GP127" s="99"/>
      <c r="GQ127" s="99"/>
      <c r="GR127" s="99"/>
      <c r="GS127" s="99"/>
      <c r="GT127" s="99"/>
      <c r="GU127" s="99"/>
      <c r="GV127" s="99"/>
      <c r="GW127" s="99"/>
      <c r="GX127" s="99"/>
      <c r="GY127" s="99"/>
      <c r="GZ127" s="99"/>
      <c r="HA127" s="99"/>
      <c r="HB127" s="99"/>
      <c r="HC127" s="99"/>
      <c r="HD127" s="99"/>
      <c r="HE127" s="99"/>
      <c r="HF127" s="99"/>
      <c r="HG127" s="99"/>
      <c r="HH127" s="99"/>
      <c r="HI127" s="99"/>
      <c r="HJ127" s="99"/>
      <c r="HK127" s="99"/>
      <c r="HL127" s="99"/>
      <c r="HM127" s="99"/>
      <c r="HN127" s="99"/>
      <c r="HO127" s="99"/>
      <c r="HP127" s="99"/>
      <c r="HQ127" s="99"/>
      <c r="HR127" s="99"/>
      <c r="HS127" s="99"/>
      <c r="HT127" s="99"/>
      <c r="HU127" s="99"/>
      <c r="HV127" s="99"/>
      <c r="HW127" s="99"/>
      <c r="HX127" s="99"/>
      <c r="HY127" s="99"/>
      <c r="HZ127" s="99"/>
      <c r="IA127" s="99"/>
      <c r="IB127" s="99"/>
      <c r="IC127" s="99"/>
      <c r="ID127" s="99"/>
      <c r="IE127" s="99"/>
      <c r="IF127" s="99"/>
      <c r="IG127" s="99"/>
      <c r="IH127" s="99"/>
      <c r="IT127" s="112"/>
    </row>
    <row r="128" spans="1:254" ht="32.25" thickBot="1">
      <c r="B128" s="185" t="s">
        <v>258</v>
      </c>
      <c r="C128" s="232" t="s">
        <v>306</v>
      </c>
      <c r="D128" s="314" t="s">
        <v>165</v>
      </c>
      <c r="E128" s="259" t="s">
        <v>257</v>
      </c>
      <c r="F128" s="131"/>
      <c r="G128" s="315" t="s">
        <v>557</v>
      </c>
      <c r="H128" s="259" t="s">
        <v>257</v>
      </c>
      <c r="I128" s="315" t="s">
        <v>557</v>
      </c>
      <c r="J128" s="259" t="s">
        <v>257</v>
      </c>
      <c r="K128" s="252"/>
      <c r="L128" s="259"/>
      <c r="M128" s="252"/>
      <c r="N128" s="259"/>
      <c r="O128" s="130">
        <f>4*0.83/1000</f>
        <v>3.32E-3</v>
      </c>
      <c r="P128" s="128"/>
      <c r="Q128" s="125"/>
      <c r="R128" s="125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99"/>
      <c r="CX128" s="99"/>
      <c r="CY128" s="99"/>
      <c r="CZ128" s="99"/>
      <c r="DA128" s="99"/>
      <c r="DB128" s="99"/>
      <c r="DC128" s="99"/>
      <c r="DD128" s="99"/>
      <c r="DE128" s="99"/>
      <c r="DF128" s="99"/>
      <c r="DG128" s="99"/>
      <c r="DH128" s="99"/>
      <c r="DI128" s="99"/>
      <c r="DJ128" s="99"/>
      <c r="DK128" s="99"/>
      <c r="DL128" s="99"/>
      <c r="DM128" s="99"/>
      <c r="DN128" s="99"/>
      <c r="DO128" s="99"/>
      <c r="DP128" s="99"/>
      <c r="DQ128" s="99"/>
      <c r="DR128" s="99"/>
      <c r="DS128" s="99"/>
      <c r="DT128" s="99"/>
      <c r="DU128" s="99"/>
      <c r="DV128" s="99"/>
      <c r="DW128" s="99"/>
      <c r="DX128" s="99"/>
      <c r="DY128" s="99"/>
      <c r="DZ128" s="99"/>
      <c r="EA128" s="99"/>
      <c r="EB128" s="99"/>
      <c r="EC128" s="99"/>
      <c r="ED128" s="99"/>
      <c r="EE128" s="99"/>
      <c r="EF128" s="99"/>
      <c r="EG128" s="99"/>
      <c r="EH128" s="99"/>
      <c r="EI128" s="99"/>
      <c r="EJ128" s="99"/>
      <c r="EK128" s="99"/>
      <c r="EL128" s="99"/>
      <c r="EM128" s="99"/>
      <c r="EN128" s="99"/>
      <c r="EO128" s="99"/>
      <c r="EP128" s="99"/>
      <c r="EQ128" s="99"/>
      <c r="ER128" s="99"/>
      <c r="ES128" s="99"/>
      <c r="ET128" s="99"/>
      <c r="EU128" s="99"/>
      <c r="EV128" s="99"/>
      <c r="EW128" s="99"/>
      <c r="EX128" s="99"/>
      <c r="EY128" s="99"/>
      <c r="EZ128" s="99"/>
      <c r="FA128" s="99"/>
      <c r="FB128" s="99"/>
      <c r="FC128" s="99"/>
      <c r="FD128" s="99"/>
      <c r="FE128" s="99"/>
      <c r="FF128" s="99"/>
      <c r="FG128" s="99"/>
      <c r="FH128" s="99"/>
      <c r="FI128" s="99"/>
      <c r="FJ128" s="99"/>
      <c r="FK128" s="99"/>
      <c r="FL128" s="99"/>
      <c r="FM128" s="99"/>
      <c r="FN128" s="99"/>
      <c r="FO128" s="99"/>
      <c r="FP128" s="99"/>
      <c r="FQ128" s="99"/>
      <c r="FR128" s="99"/>
      <c r="FS128" s="99"/>
      <c r="FT128" s="99"/>
      <c r="FU128" s="99"/>
      <c r="FV128" s="99"/>
      <c r="FW128" s="99"/>
      <c r="FX128" s="99"/>
      <c r="FY128" s="99"/>
      <c r="FZ128" s="99"/>
      <c r="GA128" s="99"/>
      <c r="GB128" s="99"/>
      <c r="GC128" s="99"/>
      <c r="GD128" s="99"/>
      <c r="GE128" s="99"/>
      <c r="GF128" s="99"/>
      <c r="GG128" s="99"/>
      <c r="GH128" s="99"/>
      <c r="GI128" s="99"/>
      <c r="GJ128" s="99"/>
      <c r="GK128" s="99"/>
      <c r="GL128" s="99"/>
      <c r="GM128" s="99"/>
      <c r="GN128" s="99"/>
      <c r="GO128" s="99"/>
      <c r="GP128" s="99"/>
      <c r="GQ128" s="99"/>
      <c r="GR128" s="99"/>
      <c r="GS128" s="99"/>
      <c r="GT128" s="99"/>
      <c r="GU128" s="99"/>
      <c r="GV128" s="99"/>
      <c r="GW128" s="99"/>
      <c r="GX128" s="99"/>
      <c r="GY128" s="99"/>
      <c r="GZ128" s="99"/>
      <c r="HA128" s="99"/>
      <c r="HB128" s="99"/>
      <c r="HC128" s="99"/>
      <c r="HD128" s="99"/>
      <c r="HE128" s="99"/>
      <c r="HF128" s="99"/>
      <c r="HG128" s="99"/>
      <c r="HH128" s="99"/>
      <c r="HI128" s="99"/>
      <c r="HJ128" s="99"/>
      <c r="HK128" s="99"/>
      <c r="HL128" s="99"/>
      <c r="HM128" s="99"/>
      <c r="HN128" s="99"/>
      <c r="HO128" s="99"/>
      <c r="HP128" s="99"/>
      <c r="HQ128" s="99"/>
      <c r="HR128" s="99"/>
      <c r="HS128" s="99"/>
      <c r="HT128" s="99"/>
      <c r="HU128" s="99"/>
      <c r="HV128" s="99"/>
      <c r="HW128" s="99"/>
      <c r="HX128" s="99"/>
      <c r="HY128" s="99"/>
      <c r="HZ128" s="99"/>
      <c r="IA128" s="99"/>
      <c r="IB128" s="99"/>
      <c r="IC128" s="99"/>
      <c r="ID128" s="99"/>
      <c r="IE128" s="99"/>
      <c r="IF128" s="99"/>
      <c r="IG128" s="99"/>
      <c r="IH128" s="99"/>
      <c r="II128" s="99"/>
      <c r="IJ128" s="99"/>
    </row>
    <row r="129" spans="1:254" ht="31.5">
      <c r="B129" s="233"/>
      <c r="C129" s="234" t="s">
        <v>259</v>
      </c>
      <c r="D129" s="235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28">
        <v>132.5</v>
      </c>
      <c r="P129" s="128"/>
      <c r="Q129" s="125"/>
      <c r="R129" s="125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  <c r="AY129" s="99"/>
      <c r="AZ129" s="99"/>
      <c r="BA129" s="99"/>
      <c r="BB129" s="99"/>
      <c r="BC129" s="99"/>
      <c r="BD129" s="99"/>
      <c r="BE129" s="99"/>
      <c r="BF129" s="99"/>
      <c r="BG129" s="99"/>
      <c r="BH129" s="99"/>
      <c r="BI129" s="99"/>
      <c r="BJ129" s="99"/>
      <c r="BK129" s="99"/>
      <c r="BL129" s="99"/>
      <c r="BM129" s="99"/>
      <c r="BN129" s="99"/>
      <c r="BO129" s="99"/>
      <c r="BP129" s="99"/>
      <c r="BQ129" s="99"/>
      <c r="BR129" s="99"/>
      <c r="BS129" s="99"/>
      <c r="BT129" s="99"/>
      <c r="BU129" s="99"/>
      <c r="BV129" s="99"/>
      <c r="BW129" s="99"/>
      <c r="BX129" s="99"/>
      <c r="BY129" s="99"/>
      <c r="BZ129" s="99"/>
      <c r="CA129" s="99"/>
      <c r="CB129" s="99"/>
      <c r="CC129" s="99"/>
      <c r="CD129" s="99"/>
      <c r="CE129" s="99"/>
      <c r="CF129" s="99"/>
      <c r="CG129" s="99"/>
      <c r="CH129" s="99"/>
      <c r="CI129" s="99"/>
      <c r="CJ129" s="99"/>
      <c r="CK129" s="99"/>
      <c r="CL129" s="99"/>
      <c r="CM129" s="99"/>
      <c r="CN129" s="99"/>
      <c r="CO129" s="99"/>
      <c r="CP129" s="99"/>
      <c r="CQ129" s="99"/>
      <c r="CR129" s="99"/>
      <c r="CS129" s="99"/>
      <c r="CT129" s="99"/>
      <c r="CU129" s="99"/>
      <c r="CV129" s="99"/>
      <c r="CW129" s="99"/>
      <c r="CX129" s="99"/>
      <c r="CY129" s="99"/>
      <c r="CZ129" s="99"/>
      <c r="DA129" s="99"/>
      <c r="DB129" s="99"/>
      <c r="DC129" s="99"/>
      <c r="DD129" s="99"/>
      <c r="DE129" s="99"/>
      <c r="DF129" s="99"/>
      <c r="DG129" s="99"/>
      <c r="DH129" s="99"/>
      <c r="DI129" s="99"/>
      <c r="DJ129" s="99"/>
      <c r="DK129" s="99"/>
      <c r="DL129" s="99"/>
      <c r="DM129" s="99"/>
      <c r="DN129" s="99"/>
      <c r="DO129" s="99"/>
      <c r="DP129" s="99"/>
      <c r="DQ129" s="99"/>
      <c r="DR129" s="99"/>
      <c r="DS129" s="99"/>
      <c r="DT129" s="99"/>
      <c r="DU129" s="99"/>
      <c r="DV129" s="99"/>
      <c r="DW129" s="99"/>
      <c r="DX129" s="99"/>
      <c r="DY129" s="99"/>
      <c r="DZ129" s="99"/>
      <c r="EA129" s="99"/>
      <c r="EB129" s="99"/>
      <c r="EC129" s="99"/>
      <c r="ED129" s="99"/>
      <c r="EE129" s="99"/>
      <c r="EF129" s="99"/>
      <c r="EG129" s="99"/>
      <c r="EH129" s="99"/>
      <c r="EI129" s="99"/>
      <c r="EJ129" s="99"/>
      <c r="EK129" s="99"/>
      <c r="EL129" s="99"/>
      <c r="EM129" s="99"/>
      <c r="EN129" s="99"/>
      <c r="EO129" s="99"/>
      <c r="EP129" s="99"/>
      <c r="EQ129" s="99"/>
      <c r="ER129" s="99"/>
      <c r="ES129" s="99"/>
      <c r="ET129" s="99"/>
      <c r="EU129" s="99"/>
      <c r="EV129" s="99"/>
      <c r="EW129" s="99"/>
      <c r="EX129" s="99"/>
      <c r="EY129" s="99"/>
      <c r="EZ129" s="99"/>
      <c r="FA129" s="99"/>
      <c r="FB129" s="99"/>
      <c r="FC129" s="99"/>
      <c r="FD129" s="99"/>
      <c r="FE129" s="99"/>
      <c r="FF129" s="99"/>
      <c r="FG129" s="99"/>
      <c r="FH129" s="99"/>
      <c r="FI129" s="99"/>
      <c r="FJ129" s="99"/>
      <c r="FK129" s="99"/>
      <c r="FL129" s="99"/>
      <c r="FM129" s="99"/>
      <c r="FN129" s="99"/>
      <c r="FO129" s="99"/>
      <c r="FP129" s="99"/>
      <c r="FQ129" s="99"/>
      <c r="FR129" s="99"/>
      <c r="FS129" s="99"/>
      <c r="FT129" s="99"/>
      <c r="FU129" s="99"/>
      <c r="FV129" s="99"/>
      <c r="FW129" s="99"/>
      <c r="FX129" s="99"/>
      <c r="FY129" s="99"/>
      <c r="FZ129" s="99"/>
      <c r="GA129" s="99"/>
      <c r="GB129" s="99"/>
      <c r="GC129" s="99"/>
      <c r="GD129" s="99"/>
      <c r="GE129" s="99"/>
      <c r="GF129" s="99"/>
      <c r="GG129" s="99"/>
      <c r="GH129" s="99"/>
      <c r="GI129" s="99"/>
      <c r="GJ129" s="99"/>
      <c r="GK129" s="99"/>
      <c r="GL129" s="99"/>
      <c r="GM129" s="99"/>
      <c r="GN129" s="99"/>
      <c r="GO129" s="99"/>
      <c r="GP129" s="99"/>
      <c r="GQ129" s="99"/>
      <c r="GR129" s="99"/>
      <c r="GS129" s="99"/>
      <c r="GT129" s="99"/>
      <c r="GU129" s="99"/>
      <c r="GV129" s="99"/>
      <c r="GW129" s="99"/>
      <c r="GX129" s="99"/>
      <c r="GY129" s="99"/>
      <c r="GZ129" s="99"/>
      <c r="HA129" s="99"/>
      <c r="HB129" s="99"/>
      <c r="HC129" s="99"/>
      <c r="HD129" s="99"/>
      <c r="HE129" s="99"/>
      <c r="HF129" s="99"/>
      <c r="HG129" s="99"/>
      <c r="HH129" s="99"/>
      <c r="HI129" s="99"/>
      <c r="HJ129" s="99"/>
      <c r="HK129" s="99"/>
      <c r="HL129" s="99"/>
      <c r="HM129" s="99"/>
      <c r="HN129" s="99"/>
      <c r="HO129" s="99"/>
      <c r="HP129" s="99"/>
      <c r="HQ129" s="99"/>
      <c r="HR129" s="99"/>
      <c r="HS129" s="99"/>
      <c r="HT129" s="99"/>
      <c r="HU129" s="99"/>
      <c r="HV129" s="99"/>
      <c r="HW129" s="99"/>
      <c r="HX129" s="99"/>
      <c r="HY129" s="99"/>
      <c r="HZ129" s="99"/>
      <c r="IA129" s="99"/>
      <c r="IB129" s="99"/>
      <c r="IC129" s="99"/>
      <c r="ID129" s="99"/>
      <c r="IE129" s="99"/>
      <c r="IF129" s="99"/>
      <c r="IG129" s="99"/>
      <c r="IH129" s="99"/>
      <c r="II129" s="99"/>
      <c r="IJ129" s="99"/>
      <c r="IT129" s="112"/>
    </row>
    <row r="130" spans="1:254" ht="33.75" customHeight="1">
      <c r="B130" s="236" t="s">
        <v>208</v>
      </c>
      <c r="C130" s="208" t="s">
        <v>298</v>
      </c>
      <c r="D130" s="136" t="s">
        <v>560</v>
      </c>
      <c r="E130" s="159">
        <v>0</v>
      </c>
      <c r="F130" s="132"/>
      <c r="G130" s="159" t="s">
        <v>264</v>
      </c>
      <c r="H130" s="159">
        <v>0</v>
      </c>
      <c r="I130" s="159" t="s">
        <v>264</v>
      </c>
      <c r="J130" s="159">
        <v>0</v>
      </c>
      <c r="K130" s="159"/>
      <c r="L130" s="159"/>
      <c r="M130" s="159"/>
      <c r="N130" s="159"/>
      <c r="O130" s="130">
        <f>0.09*O129</f>
        <v>11.924999999999999</v>
      </c>
      <c r="P130" s="128"/>
      <c r="Q130" s="125"/>
      <c r="R130" s="125" t="s">
        <v>191</v>
      </c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  <c r="AY130" s="99"/>
      <c r="AZ130" s="99"/>
      <c r="BA130" s="99"/>
      <c r="BB130" s="99"/>
      <c r="BC130" s="99"/>
      <c r="BD130" s="99"/>
      <c r="BE130" s="99"/>
      <c r="BF130" s="99"/>
      <c r="BG130" s="99"/>
      <c r="BH130" s="99"/>
      <c r="BI130" s="99"/>
      <c r="BJ130" s="99"/>
      <c r="BK130" s="99"/>
      <c r="BL130" s="99"/>
      <c r="BM130" s="99"/>
      <c r="BN130" s="99"/>
      <c r="BO130" s="99"/>
      <c r="BP130" s="99"/>
      <c r="BQ130" s="99"/>
      <c r="BR130" s="99"/>
      <c r="BS130" s="99"/>
      <c r="BT130" s="99"/>
      <c r="BU130" s="99"/>
      <c r="BV130" s="99"/>
      <c r="BW130" s="99"/>
      <c r="BX130" s="99"/>
      <c r="BY130" s="99"/>
      <c r="BZ130" s="99"/>
      <c r="CA130" s="99"/>
      <c r="CB130" s="99"/>
      <c r="CC130" s="99"/>
      <c r="CD130" s="99"/>
      <c r="CE130" s="99"/>
      <c r="CF130" s="99"/>
      <c r="CG130" s="99"/>
      <c r="CH130" s="99"/>
      <c r="CI130" s="99"/>
      <c r="CJ130" s="99"/>
      <c r="CK130" s="99"/>
      <c r="CL130" s="99"/>
      <c r="CM130" s="99"/>
      <c r="CN130" s="99"/>
      <c r="CO130" s="99"/>
      <c r="CP130" s="99"/>
      <c r="CQ130" s="99"/>
      <c r="CR130" s="99"/>
      <c r="CS130" s="99"/>
      <c r="CT130" s="99"/>
      <c r="CU130" s="99"/>
      <c r="CV130" s="99"/>
      <c r="CW130" s="99"/>
      <c r="CX130" s="99"/>
      <c r="CY130" s="99"/>
      <c r="CZ130" s="99"/>
      <c r="DA130" s="99"/>
      <c r="DB130" s="99"/>
      <c r="DC130" s="99"/>
      <c r="DD130" s="99"/>
      <c r="DE130" s="99"/>
      <c r="DF130" s="99"/>
      <c r="DG130" s="99"/>
      <c r="DH130" s="99"/>
      <c r="DI130" s="99"/>
      <c r="DJ130" s="99"/>
      <c r="DK130" s="99"/>
      <c r="DL130" s="99"/>
      <c r="DM130" s="99"/>
      <c r="DN130" s="99"/>
      <c r="DO130" s="99"/>
      <c r="DP130" s="99"/>
      <c r="DQ130" s="99"/>
      <c r="DR130" s="99"/>
      <c r="DS130" s="99"/>
      <c r="DT130" s="99"/>
      <c r="DU130" s="99"/>
      <c r="DV130" s="99"/>
      <c r="DW130" s="99"/>
      <c r="DX130" s="99"/>
      <c r="DY130" s="99"/>
      <c r="DZ130" s="99"/>
      <c r="EA130" s="99"/>
      <c r="EB130" s="99"/>
      <c r="EC130" s="99"/>
      <c r="ED130" s="99"/>
      <c r="EE130" s="99"/>
      <c r="EF130" s="99"/>
      <c r="EG130" s="99"/>
      <c r="EH130" s="99"/>
      <c r="EI130" s="99"/>
      <c r="EJ130" s="99"/>
      <c r="EK130" s="99"/>
      <c r="EL130" s="99"/>
      <c r="EM130" s="99"/>
      <c r="EN130" s="99"/>
      <c r="EO130" s="99"/>
      <c r="EP130" s="99"/>
      <c r="EQ130" s="99"/>
      <c r="ER130" s="99"/>
      <c r="ES130" s="99"/>
      <c r="ET130" s="99"/>
      <c r="EU130" s="99"/>
      <c r="EV130" s="99"/>
      <c r="EW130" s="99"/>
      <c r="EX130" s="99"/>
      <c r="EY130" s="99"/>
      <c r="EZ130" s="99"/>
      <c r="FA130" s="99"/>
      <c r="FB130" s="99"/>
      <c r="FC130" s="99"/>
      <c r="FD130" s="99"/>
      <c r="FE130" s="99"/>
      <c r="FF130" s="99"/>
      <c r="FG130" s="99"/>
      <c r="FH130" s="99"/>
      <c r="FI130" s="99"/>
      <c r="FJ130" s="99"/>
      <c r="FK130" s="99"/>
      <c r="FL130" s="99"/>
      <c r="FM130" s="99"/>
      <c r="FN130" s="99"/>
      <c r="FO130" s="99"/>
      <c r="FP130" s="99"/>
      <c r="FQ130" s="99"/>
      <c r="FR130" s="99"/>
      <c r="FS130" s="99"/>
      <c r="FT130" s="99"/>
      <c r="FU130" s="99"/>
      <c r="FV130" s="99"/>
      <c r="FW130" s="99"/>
      <c r="FX130" s="99"/>
      <c r="FY130" s="99"/>
      <c r="FZ130" s="99"/>
      <c r="GA130" s="99"/>
      <c r="GB130" s="99"/>
      <c r="GC130" s="99"/>
      <c r="GD130" s="99"/>
      <c r="GE130" s="99"/>
      <c r="GF130" s="99"/>
      <c r="GG130" s="99"/>
      <c r="GH130" s="99"/>
      <c r="GI130" s="99"/>
      <c r="GJ130" s="99"/>
      <c r="GK130" s="99"/>
      <c r="GL130" s="99"/>
      <c r="GM130" s="99"/>
      <c r="GN130" s="99"/>
      <c r="GO130" s="99"/>
      <c r="GP130" s="99"/>
      <c r="GQ130" s="99"/>
      <c r="GR130" s="99"/>
      <c r="GS130" s="99"/>
      <c r="GT130" s="99"/>
      <c r="GU130" s="99"/>
      <c r="GV130" s="99"/>
      <c r="GW130" s="99"/>
      <c r="GX130" s="99"/>
      <c r="GY130" s="99"/>
      <c r="GZ130" s="99"/>
      <c r="HA130" s="99"/>
      <c r="HB130" s="99"/>
      <c r="HC130" s="99"/>
      <c r="HD130" s="99"/>
      <c r="HE130" s="99"/>
      <c r="HF130" s="99"/>
      <c r="HG130" s="99"/>
      <c r="HH130" s="99"/>
      <c r="HI130" s="99"/>
      <c r="HJ130" s="99"/>
      <c r="HK130" s="99"/>
      <c r="HL130" s="99"/>
      <c r="HM130" s="99"/>
      <c r="HN130" s="99"/>
      <c r="HO130" s="99"/>
      <c r="HP130" s="99"/>
      <c r="HQ130" s="99"/>
      <c r="HR130" s="99"/>
      <c r="HS130" s="99"/>
      <c r="HT130" s="99"/>
      <c r="HU130" s="99"/>
      <c r="HV130" s="99"/>
      <c r="HW130" s="99"/>
      <c r="HX130" s="99"/>
      <c r="HY130" s="99"/>
      <c r="HZ130" s="99"/>
      <c r="IA130" s="99"/>
      <c r="IB130" s="99"/>
      <c r="IC130" s="99"/>
      <c r="ID130" s="99"/>
      <c r="IE130" s="99"/>
      <c r="IF130" s="99"/>
      <c r="IG130" s="99"/>
      <c r="IH130" s="99"/>
      <c r="II130" s="99"/>
      <c r="IJ130" s="99"/>
    </row>
    <row r="131" spans="1:254" ht="18.75">
      <c r="B131" s="192" t="s">
        <v>209</v>
      </c>
      <c r="C131" s="206" t="s">
        <v>173</v>
      </c>
      <c r="D131" s="155" t="s">
        <v>560</v>
      </c>
      <c r="E131" s="211">
        <v>0</v>
      </c>
      <c r="F131" s="131"/>
      <c r="G131" s="211" t="s">
        <v>264</v>
      </c>
      <c r="H131" s="211">
        <v>0</v>
      </c>
      <c r="I131" s="211" t="s">
        <v>264</v>
      </c>
      <c r="J131" s="211">
        <v>0</v>
      </c>
      <c r="K131" s="211"/>
      <c r="L131" s="211"/>
      <c r="M131" s="211"/>
      <c r="N131" s="211"/>
      <c r="O131" s="130">
        <f>0.05*O129</f>
        <v>6.625</v>
      </c>
      <c r="P131" s="128"/>
      <c r="Q131" s="125"/>
      <c r="R131" s="125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  <c r="AY131" s="99"/>
      <c r="AZ131" s="99"/>
      <c r="BA131" s="99"/>
      <c r="BB131" s="99"/>
      <c r="BC131" s="99"/>
      <c r="BD131" s="99"/>
      <c r="BE131" s="99"/>
      <c r="BF131" s="99"/>
      <c r="BG131" s="99"/>
      <c r="BH131" s="99"/>
      <c r="BI131" s="99"/>
      <c r="BJ131" s="99"/>
      <c r="BK131" s="99"/>
      <c r="BL131" s="99"/>
      <c r="BM131" s="99"/>
      <c r="BN131" s="99"/>
      <c r="BO131" s="99"/>
      <c r="BP131" s="99"/>
      <c r="BQ131" s="99"/>
      <c r="BR131" s="99"/>
      <c r="BS131" s="99"/>
      <c r="BT131" s="99"/>
      <c r="BU131" s="99"/>
      <c r="BV131" s="99"/>
      <c r="BW131" s="99"/>
      <c r="BX131" s="99"/>
      <c r="BY131" s="99"/>
      <c r="BZ131" s="99"/>
      <c r="CA131" s="99"/>
      <c r="CB131" s="99"/>
      <c r="CC131" s="99"/>
      <c r="CD131" s="99"/>
      <c r="CE131" s="99"/>
      <c r="CF131" s="99"/>
      <c r="CG131" s="99"/>
      <c r="CH131" s="99"/>
      <c r="CI131" s="99"/>
      <c r="CJ131" s="99"/>
      <c r="CK131" s="99"/>
      <c r="CL131" s="99"/>
      <c r="CM131" s="99"/>
      <c r="CN131" s="99"/>
      <c r="CO131" s="99"/>
      <c r="CP131" s="99"/>
      <c r="CQ131" s="99"/>
      <c r="CR131" s="99"/>
      <c r="CS131" s="99"/>
      <c r="CT131" s="99"/>
      <c r="CU131" s="99"/>
      <c r="CV131" s="99"/>
      <c r="CW131" s="99"/>
      <c r="CX131" s="99"/>
      <c r="CY131" s="99"/>
      <c r="CZ131" s="99"/>
      <c r="DA131" s="99"/>
      <c r="DB131" s="99"/>
      <c r="DC131" s="99"/>
      <c r="DD131" s="99"/>
      <c r="DE131" s="99"/>
      <c r="DF131" s="99"/>
      <c r="DG131" s="99"/>
      <c r="DH131" s="99"/>
      <c r="DI131" s="99"/>
      <c r="DJ131" s="99"/>
      <c r="DK131" s="99"/>
      <c r="DL131" s="99"/>
      <c r="DM131" s="99"/>
      <c r="DN131" s="99"/>
      <c r="DO131" s="99"/>
      <c r="DP131" s="99"/>
      <c r="DQ131" s="99"/>
      <c r="DR131" s="99"/>
      <c r="DS131" s="99"/>
      <c r="DT131" s="99"/>
      <c r="DU131" s="99"/>
      <c r="DV131" s="99"/>
      <c r="DW131" s="99"/>
      <c r="DX131" s="99"/>
      <c r="DY131" s="99"/>
      <c r="DZ131" s="99"/>
      <c r="EA131" s="99"/>
      <c r="EB131" s="99"/>
      <c r="EC131" s="99"/>
      <c r="ED131" s="99"/>
      <c r="EE131" s="99"/>
      <c r="EF131" s="99"/>
      <c r="EG131" s="99"/>
      <c r="EH131" s="99"/>
      <c r="EI131" s="99"/>
      <c r="EJ131" s="99"/>
      <c r="EK131" s="99"/>
      <c r="EL131" s="99"/>
      <c r="EM131" s="99"/>
      <c r="EN131" s="99"/>
      <c r="EO131" s="99"/>
      <c r="EP131" s="99"/>
      <c r="EQ131" s="99"/>
      <c r="ER131" s="99"/>
      <c r="ES131" s="99"/>
      <c r="ET131" s="99"/>
      <c r="EU131" s="99"/>
      <c r="EV131" s="99"/>
      <c r="EW131" s="99"/>
      <c r="EX131" s="99"/>
      <c r="EY131" s="99"/>
      <c r="EZ131" s="99"/>
      <c r="FA131" s="99"/>
      <c r="FB131" s="99"/>
      <c r="FC131" s="99"/>
      <c r="FD131" s="99"/>
      <c r="FE131" s="99"/>
      <c r="FF131" s="99"/>
      <c r="FG131" s="99"/>
      <c r="FH131" s="99"/>
      <c r="FI131" s="99"/>
      <c r="FJ131" s="99"/>
      <c r="FK131" s="99"/>
      <c r="FL131" s="99"/>
      <c r="FM131" s="99"/>
      <c r="FN131" s="99"/>
      <c r="FO131" s="99"/>
      <c r="FP131" s="99"/>
      <c r="FQ131" s="99"/>
      <c r="FR131" s="99"/>
      <c r="FS131" s="99"/>
      <c r="FT131" s="99"/>
      <c r="FU131" s="99"/>
      <c r="FV131" s="99"/>
      <c r="FW131" s="99"/>
      <c r="FX131" s="99"/>
      <c r="FY131" s="99"/>
      <c r="FZ131" s="99"/>
      <c r="GA131" s="99"/>
      <c r="GB131" s="99"/>
      <c r="GC131" s="99"/>
      <c r="GD131" s="99"/>
      <c r="GE131" s="99"/>
      <c r="GF131" s="99"/>
      <c r="GG131" s="99"/>
      <c r="GH131" s="99"/>
      <c r="GI131" s="99"/>
      <c r="GJ131" s="99"/>
      <c r="GK131" s="99"/>
      <c r="GL131" s="99"/>
      <c r="GM131" s="99"/>
      <c r="GN131" s="99"/>
      <c r="GO131" s="99"/>
      <c r="GP131" s="99"/>
      <c r="GQ131" s="99"/>
      <c r="GR131" s="99"/>
      <c r="GS131" s="99"/>
      <c r="GT131" s="99"/>
      <c r="GU131" s="99"/>
      <c r="GV131" s="99"/>
      <c r="GW131" s="99"/>
      <c r="GX131" s="99"/>
      <c r="GY131" s="99"/>
      <c r="GZ131" s="99"/>
      <c r="HA131" s="99"/>
      <c r="HB131" s="99"/>
      <c r="HC131" s="99"/>
      <c r="HD131" s="99"/>
      <c r="HE131" s="99"/>
      <c r="HF131" s="99"/>
      <c r="HG131" s="99"/>
      <c r="HH131" s="99"/>
      <c r="HI131" s="99"/>
      <c r="HJ131" s="99"/>
      <c r="HK131" s="99"/>
      <c r="HL131" s="99"/>
      <c r="HM131" s="99"/>
      <c r="HN131" s="99"/>
      <c r="HO131" s="99"/>
      <c r="HP131" s="99"/>
      <c r="HQ131" s="99"/>
      <c r="HR131" s="99"/>
      <c r="HS131" s="99"/>
      <c r="HT131" s="99"/>
      <c r="HU131" s="99"/>
      <c r="HV131" s="99"/>
      <c r="HW131" s="99"/>
      <c r="HX131" s="99"/>
      <c r="HY131" s="99"/>
      <c r="HZ131" s="99"/>
      <c r="IA131" s="99"/>
      <c r="IB131" s="99"/>
      <c r="IC131" s="99"/>
      <c r="ID131" s="99"/>
      <c r="IE131" s="99"/>
      <c r="IF131" s="99"/>
      <c r="IG131" s="99"/>
      <c r="IH131" s="99"/>
      <c r="II131" s="99"/>
      <c r="IJ131" s="99"/>
    </row>
    <row r="132" spans="1:254" ht="31.5">
      <c r="B132" s="192" t="s">
        <v>210</v>
      </c>
      <c r="C132" s="224" t="s">
        <v>175</v>
      </c>
      <c r="D132" s="137" t="s">
        <v>141</v>
      </c>
      <c r="E132" s="138">
        <v>0</v>
      </c>
      <c r="F132" s="129"/>
      <c r="G132" s="138" t="s">
        <v>264</v>
      </c>
      <c r="H132" s="138">
        <v>0</v>
      </c>
      <c r="I132" s="138" t="s">
        <v>264</v>
      </c>
      <c r="J132" s="138">
        <v>0</v>
      </c>
      <c r="K132" s="138"/>
      <c r="L132" s="138"/>
      <c r="M132" s="138"/>
      <c r="N132" s="138"/>
      <c r="O132" s="130">
        <f>(5*0.45*O129)/1000</f>
        <v>0.29812499999999997</v>
      </c>
      <c r="P132" s="128"/>
      <c r="Q132" s="125"/>
      <c r="R132" s="125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  <c r="AY132" s="99"/>
      <c r="AZ132" s="99"/>
      <c r="BA132" s="99"/>
      <c r="BB132" s="99"/>
      <c r="BC132" s="99"/>
      <c r="BD132" s="99"/>
      <c r="BE132" s="99"/>
      <c r="BF132" s="99"/>
      <c r="BG132" s="99"/>
      <c r="BH132" s="99"/>
      <c r="BI132" s="99"/>
      <c r="BJ132" s="99"/>
      <c r="BK132" s="99"/>
      <c r="BL132" s="99"/>
      <c r="BM132" s="99"/>
      <c r="BN132" s="99"/>
      <c r="BO132" s="99"/>
      <c r="BP132" s="99"/>
      <c r="BQ132" s="99"/>
      <c r="BR132" s="99"/>
      <c r="BS132" s="99"/>
      <c r="BT132" s="99"/>
      <c r="BU132" s="99"/>
      <c r="BV132" s="99"/>
      <c r="BW132" s="99"/>
      <c r="BX132" s="99"/>
      <c r="BY132" s="99"/>
      <c r="BZ132" s="99"/>
      <c r="CA132" s="99"/>
      <c r="CB132" s="99"/>
      <c r="CC132" s="99"/>
      <c r="CD132" s="99"/>
      <c r="CE132" s="99"/>
      <c r="CF132" s="99"/>
      <c r="CG132" s="99"/>
      <c r="CH132" s="99"/>
      <c r="CI132" s="99"/>
      <c r="CJ132" s="99"/>
      <c r="CK132" s="99"/>
      <c r="CL132" s="99"/>
      <c r="CM132" s="99"/>
      <c r="CN132" s="99"/>
      <c r="CO132" s="99"/>
      <c r="CP132" s="99"/>
      <c r="CQ132" s="99"/>
      <c r="CR132" s="99"/>
      <c r="CS132" s="99"/>
      <c r="CT132" s="99"/>
      <c r="CU132" s="99"/>
      <c r="CV132" s="99"/>
      <c r="CW132" s="99"/>
      <c r="CX132" s="99"/>
      <c r="CY132" s="99"/>
      <c r="CZ132" s="99"/>
      <c r="DA132" s="99"/>
      <c r="DB132" s="99"/>
      <c r="DC132" s="99"/>
      <c r="DD132" s="99"/>
      <c r="DE132" s="99"/>
      <c r="DF132" s="99"/>
      <c r="DG132" s="99"/>
      <c r="DH132" s="99"/>
      <c r="DI132" s="99"/>
      <c r="DJ132" s="99"/>
      <c r="DK132" s="99"/>
      <c r="DL132" s="99"/>
      <c r="DM132" s="99"/>
      <c r="DN132" s="99"/>
      <c r="DO132" s="99"/>
      <c r="DP132" s="99"/>
      <c r="DQ132" s="99"/>
      <c r="DR132" s="99"/>
      <c r="DS132" s="99"/>
      <c r="DT132" s="99"/>
      <c r="DU132" s="99"/>
      <c r="DV132" s="99"/>
      <c r="DW132" s="99"/>
      <c r="DX132" s="99"/>
      <c r="DY132" s="99"/>
      <c r="DZ132" s="99"/>
      <c r="EA132" s="99"/>
      <c r="EB132" s="99"/>
      <c r="EC132" s="99"/>
      <c r="ED132" s="99"/>
      <c r="EE132" s="99"/>
      <c r="EF132" s="99"/>
      <c r="EG132" s="99"/>
      <c r="EH132" s="99"/>
      <c r="EI132" s="99"/>
      <c r="EJ132" s="99"/>
      <c r="EK132" s="99"/>
      <c r="EL132" s="99"/>
      <c r="EM132" s="99"/>
      <c r="EN132" s="99"/>
      <c r="EO132" s="99"/>
      <c r="EP132" s="99"/>
      <c r="EQ132" s="99"/>
      <c r="ER132" s="99"/>
      <c r="ES132" s="99"/>
      <c r="ET132" s="99"/>
      <c r="EU132" s="99"/>
      <c r="EV132" s="99"/>
      <c r="EW132" s="99"/>
      <c r="EX132" s="99"/>
      <c r="EY132" s="99"/>
      <c r="EZ132" s="99"/>
      <c r="FA132" s="99"/>
      <c r="FB132" s="99"/>
      <c r="FC132" s="99"/>
      <c r="FD132" s="99"/>
      <c r="FE132" s="99"/>
      <c r="FF132" s="99"/>
      <c r="FG132" s="99"/>
      <c r="FH132" s="99"/>
      <c r="FI132" s="99"/>
      <c r="FJ132" s="99"/>
      <c r="FK132" s="99"/>
      <c r="FL132" s="99"/>
      <c r="FM132" s="99"/>
      <c r="FN132" s="99"/>
      <c r="FO132" s="99"/>
      <c r="FP132" s="99"/>
      <c r="FQ132" s="99"/>
      <c r="FR132" s="99"/>
      <c r="FS132" s="99"/>
      <c r="FT132" s="99"/>
      <c r="FU132" s="99"/>
      <c r="FV132" s="99"/>
      <c r="FW132" s="99"/>
      <c r="FX132" s="99"/>
      <c r="FY132" s="99"/>
      <c r="FZ132" s="99"/>
      <c r="GA132" s="99"/>
      <c r="GB132" s="99"/>
      <c r="GC132" s="99"/>
      <c r="GD132" s="99"/>
      <c r="GE132" s="99"/>
      <c r="GF132" s="99"/>
      <c r="GG132" s="99"/>
      <c r="GH132" s="99"/>
      <c r="GI132" s="99"/>
      <c r="GJ132" s="99"/>
      <c r="GK132" s="99"/>
      <c r="GL132" s="99"/>
      <c r="GM132" s="99"/>
      <c r="GN132" s="99"/>
      <c r="GO132" s="99"/>
      <c r="GP132" s="99"/>
      <c r="GQ132" s="99"/>
      <c r="GR132" s="99"/>
      <c r="GS132" s="99"/>
      <c r="GT132" s="99"/>
      <c r="GU132" s="99"/>
      <c r="GV132" s="99"/>
      <c r="GW132" s="99"/>
      <c r="GX132" s="99"/>
      <c r="GY132" s="99"/>
      <c r="GZ132" s="99"/>
      <c r="HA132" s="99"/>
      <c r="HB132" s="99"/>
      <c r="HC132" s="99"/>
      <c r="HD132" s="99"/>
      <c r="HE132" s="99"/>
      <c r="HF132" s="99"/>
      <c r="HG132" s="99"/>
      <c r="HH132" s="99"/>
      <c r="HI132" s="99"/>
      <c r="HJ132" s="99"/>
      <c r="HK132" s="99"/>
      <c r="HL132" s="99"/>
      <c r="HM132" s="99"/>
      <c r="HN132" s="99"/>
      <c r="HO132" s="99"/>
      <c r="HP132" s="99"/>
      <c r="HQ132" s="99"/>
      <c r="HR132" s="99"/>
      <c r="HS132" s="99"/>
      <c r="HT132" s="99"/>
      <c r="HU132" s="99"/>
      <c r="HV132" s="99"/>
      <c r="HW132" s="99"/>
      <c r="HX132" s="99"/>
      <c r="HY132" s="99"/>
      <c r="HZ132" s="99"/>
      <c r="IA132" s="99"/>
      <c r="IB132" s="99"/>
      <c r="IC132" s="99"/>
      <c r="ID132" s="99"/>
      <c r="IE132" s="99"/>
      <c r="IF132" s="99"/>
      <c r="IG132" s="99"/>
      <c r="IH132" s="99"/>
      <c r="II132" s="99"/>
      <c r="IJ132" s="99"/>
    </row>
    <row r="133" spans="1:254" ht="47.25">
      <c r="B133" s="192" t="s">
        <v>211</v>
      </c>
      <c r="C133" s="224" t="s">
        <v>305</v>
      </c>
      <c r="D133" s="137" t="s">
        <v>141</v>
      </c>
      <c r="E133" s="138">
        <v>0</v>
      </c>
      <c r="F133" s="129"/>
      <c r="G133" s="138" t="s">
        <v>264</v>
      </c>
      <c r="H133" s="138">
        <v>0</v>
      </c>
      <c r="I133" s="138" t="s">
        <v>264</v>
      </c>
      <c r="J133" s="138">
        <v>0</v>
      </c>
      <c r="K133" s="138"/>
      <c r="L133" s="138"/>
      <c r="M133" s="138"/>
      <c r="N133" s="138"/>
      <c r="O133" s="130">
        <f>4*1.58*O129/1000</f>
        <v>0.83740000000000014</v>
      </c>
      <c r="P133" s="128"/>
      <c r="Q133" s="125"/>
      <c r="R133" s="125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  <c r="AY133" s="99"/>
      <c r="AZ133" s="99"/>
      <c r="BA133" s="99"/>
      <c r="BB133" s="99"/>
      <c r="BC133" s="99"/>
      <c r="BD133" s="99"/>
      <c r="BE133" s="99"/>
      <c r="BF133" s="99"/>
      <c r="BG133" s="99"/>
      <c r="BH133" s="99"/>
      <c r="BI133" s="99"/>
      <c r="BJ133" s="99"/>
      <c r="BK133" s="99"/>
      <c r="BL133" s="99"/>
      <c r="BM133" s="99"/>
      <c r="BN133" s="99"/>
      <c r="BO133" s="99"/>
      <c r="BP133" s="99"/>
      <c r="BQ133" s="99"/>
      <c r="BR133" s="99"/>
      <c r="BS133" s="99"/>
      <c r="BT133" s="99"/>
      <c r="BU133" s="99"/>
      <c r="BV133" s="99"/>
      <c r="BW133" s="99"/>
      <c r="BX133" s="99"/>
      <c r="BY133" s="99"/>
      <c r="BZ133" s="99"/>
      <c r="CA133" s="99"/>
      <c r="CB133" s="99"/>
      <c r="CC133" s="99"/>
      <c r="CD133" s="99"/>
      <c r="CE133" s="99"/>
      <c r="CF133" s="99"/>
      <c r="CG133" s="99"/>
      <c r="CH133" s="99"/>
      <c r="CI133" s="99"/>
      <c r="CJ133" s="99"/>
      <c r="CK133" s="99"/>
      <c r="CL133" s="99"/>
      <c r="CM133" s="99"/>
      <c r="CN133" s="99"/>
      <c r="CO133" s="99"/>
      <c r="CP133" s="99"/>
      <c r="CQ133" s="99"/>
      <c r="CR133" s="99"/>
      <c r="CS133" s="99"/>
      <c r="CT133" s="99"/>
      <c r="CU133" s="99"/>
      <c r="CV133" s="99"/>
      <c r="CW133" s="99"/>
      <c r="CX133" s="99"/>
      <c r="CY133" s="99"/>
      <c r="CZ133" s="99"/>
      <c r="DA133" s="99"/>
      <c r="DB133" s="99"/>
      <c r="DC133" s="99"/>
      <c r="DD133" s="99"/>
      <c r="DE133" s="99"/>
      <c r="DF133" s="99"/>
      <c r="DG133" s="99"/>
      <c r="DH133" s="99"/>
      <c r="DI133" s="99"/>
      <c r="DJ133" s="99"/>
      <c r="DK133" s="99"/>
      <c r="DL133" s="99"/>
      <c r="DM133" s="99"/>
      <c r="DN133" s="99"/>
      <c r="DO133" s="99"/>
      <c r="DP133" s="99"/>
      <c r="DQ133" s="99"/>
      <c r="DR133" s="99"/>
      <c r="DS133" s="99"/>
      <c r="DT133" s="99"/>
      <c r="DU133" s="99"/>
      <c r="DV133" s="99"/>
      <c r="DW133" s="99"/>
      <c r="DX133" s="99"/>
      <c r="DY133" s="99"/>
      <c r="DZ133" s="99"/>
      <c r="EA133" s="99"/>
      <c r="EB133" s="99"/>
      <c r="EC133" s="99"/>
      <c r="ED133" s="99"/>
      <c r="EE133" s="99"/>
      <c r="EF133" s="99"/>
      <c r="EG133" s="99"/>
      <c r="EH133" s="99"/>
      <c r="EI133" s="99"/>
      <c r="EJ133" s="99"/>
      <c r="EK133" s="99"/>
      <c r="EL133" s="99"/>
      <c r="EM133" s="99"/>
      <c r="EN133" s="99"/>
      <c r="EO133" s="99"/>
      <c r="EP133" s="99"/>
      <c r="EQ133" s="99"/>
      <c r="ER133" s="99"/>
      <c r="ES133" s="99"/>
      <c r="ET133" s="99"/>
      <c r="EU133" s="99"/>
      <c r="EV133" s="99"/>
      <c r="EW133" s="99"/>
      <c r="EX133" s="99"/>
      <c r="EY133" s="99"/>
      <c r="EZ133" s="99"/>
      <c r="FA133" s="99"/>
      <c r="FB133" s="99"/>
      <c r="FC133" s="99"/>
      <c r="FD133" s="99"/>
      <c r="FE133" s="99"/>
      <c r="FF133" s="99"/>
      <c r="FG133" s="99"/>
      <c r="FH133" s="99"/>
      <c r="FI133" s="99"/>
      <c r="FJ133" s="99"/>
      <c r="FK133" s="99"/>
      <c r="FL133" s="99"/>
      <c r="FM133" s="99"/>
      <c r="FN133" s="99"/>
      <c r="FO133" s="99"/>
      <c r="FP133" s="99"/>
      <c r="FQ133" s="99"/>
      <c r="FR133" s="99"/>
      <c r="FS133" s="99"/>
      <c r="FT133" s="99"/>
      <c r="FU133" s="99"/>
      <c r="FV133" s="99"/>
      <c r="FW133" s="99"/>
      <c r="FX133" s="99"/>
      <c r="FY133" s="99"/>
      <c r="FZ133" s="99"/>
      <c r="GA133" s="99"/>
      <c r="GB133" s="99"/>
      <c r="GC133" s="99"/>
      <c r="GD133" s="99"/>
      <c r="GE133" s="99"/>
      <c r="GF133" s="99"/>
      <c r="GG133" s="99"/>
      <c r="GH133" s="99"/>
      <c r="GI133" s="99"/>
      <c r="GJ133" s="99"/>
      <c r="GK133" s="99"/>
      <c r="GL133" s="99"/>
      <c r="GM133" s="99"/>
      <c r="GN133" s="99"/>
      <c r="GO133" s="99"/>
      <c r="GP133" s="99"/>
      <c r="GQ133" s="99"/>
      <c r="GR133" s="99"/>
      <c r="GS133" s="99"/>
      <c r="GT133" s="99"/>
      <c r="GU133" s="99"/>
      <c r="GV133" s="99"/>
      <c r="GW133" s="99"/>
      <c r="GX133" s="99"/>
      <c r="GY133" s="99"/>
      <c r="GZ133" s="99"/>
      <c r="HA133" s="99"/>
      <c r="HB133" s="99"/>
      <c r="HC133" s="99"/>
      <c r="HD133" s="99"/>
      <c r="HE133" s="99"/>
      <c r="HF133" s="99"/>
      <c r="HG133" s="99"/>
      <c r="HH133" s="99"/>
      <c r="HI133" s="99"/>
      <c r="HJ133" s="99"/>
      <c r="HK133" s="99"/>
      <c r="HL133" s="99"/>
      <c r="HM133" s="99"/>
      <c r="HN133" s="99"/>
      <c r="HO133" s="99"/>
      <c r="HP133" s="99"/>
      <c r="HQ133" s="99"/>
      <c r="HR133" s="99"/>
      <c r="HS133" s="99"/>
      <c r="HT133" s="99"/>
      <c r="HU133" s="99"/>
      <c r="HV133" s="99"/>
      <c r="HW133" s="99"/>
      <c r="HX133" s="99"/>
      <c r="HY133" s="99"/>
      <c r="HZ133" s="99"/>
      <c r="IA133" s="99"/>
      <c r="IB133" s="99"/>
      <c r="IC133" s="99"/>
      <c r="ID133" s="99"/>
      <c r="IE133" s="99"/>
      <c r="IF133" s="99"/>
      <c r="IG133" s="99"/>
      <c r="IH133" s="99"/>
      <c r="II133" s="99"/>
      <c r="IJ133" s="99"/>
    </row>
    <row r="134" spans="1:254" ht="31.5">
      <c r="B134" s="192" t="s">
        <v>212</v>
      </c>
      <c r="C134" s="212" t="s">
        <v>174</v>
      </c>
      <c r="D134" s="137" t="s">
        <v>563</v>
      </c>
      <c r="E134" s="138">
        <v>0</v>
      </c>
      <c r="F134" s="129"/>
      <c r="G134" s="138" t="s">
        <v>264</v>
      </c>
      <c r="H134" s="138">
        <v>0</v>
      </c>
      <c r="I134" s="138" t="s">
        <v>264</v>
      </c>
      <c r="J134" s="138">
        <v>0</v>
      </c>
      <c r="K134" s="138"/>
      <c r="L134" s="138"/>
      <c r="M134" s="138"/>
      <c r="N134" s="138"/>
      <c r="O134" s="130">
        <f>0.3*2*O129</f>
        <v>79.5</v>
      </c>
      <c r="P134" s="128"/>
      <c r="Q134" s="125"/>
      <c r="R134" s="125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99"/>
      <c r="DE134" s="99"/>
      <c r="DF134" s="99"/>
      <c r="DG134" s="99"/>
      <c r="DH134" s="99"/>
      <c r="DI134" s="99"/>
      <c r="DJ134" s="99"/>
      <c r="DK134" s="99"/>
      <c r="DL134" s="99"/>
      <c r="DM134" s="99"/>
      <c r="DN134" s="99"/>
      <c r="DO134" s="99"/>
      <c r="DP134" s="99"/>
      <c r="DQ134" s="99"/>
      <c r="DR134" s="99"/>
      <c r="DS134" s="99"/>
      <c r="DT134" s="99"/>
      <c r="DU134" s="99"/>
      <c r="DV134" s="99"/>
      <c r="DW134" s="99"/>
      <c r="DX134" s="99"/>
      <c r="DY134" s="99"/>
      <c r="DZ134" s="99"/>
      <c r="EA134" s="99"/>
      <c r="EB134" s="99"/>
      <c r="EC134" s="99"/>
      <c r="ED134" s="99"/>
      <c r="EE134" s="99"/>
      <c r="EF134" s="99"/>
      <c r="EG134" s="99"/>
      <c r="EH134" s="99"/>
      <c r="EI134" s="99"/>
      <c r="EJ134" s="99"/>
      <c r="EK134" s="99"/>
      <c r="EL134" s="99"/>
      <c r="EM134" s="99"/>
      <c r="EN134" s="99"/>
      <c r="EO134" s="99"/>
      <c r="EP134" s="99"/>
      <c r="EQ134" s="99"/>
      <c r="ER134" s="99"/>
      <c r="ES134" s="99"/>
      <c r="ET134" s="99"/>
      <c r="EU134" s="99"/>
      <c r="EV134" s="99"/>
      <c r="EW134" s="99"/>
      <c r="EX134" s="99"/>
      <c r="EY134" s="99"/>
      <c r="EZ134" s="99"/>
      <c r="FA134" s="99"/>
      <c r="FB134" s="99"/>
      <c r="FC134" s="99"/>
      <c r="FD134" s="99"/>
      <c r="FE134" s="99"/>
      <c r="FF134" s="99"/>
      <c r="FG134" s="99"/>
      <c r="FH134" s="99"/>
      <c r="FI134" s="99"/>
      <c r="FJ134" s="99"/>
      <c r="FK134" s="99"/>
      <c r="FL134" s="99"/>
      <c r="FM134" s="99"/>
      <c r="FN134" s="99"/>
      <c r="FO134" s="99"/>
      <c r="FP134" s="99"/>
      <c r="FQ134" s="99"/>
      <c r="FR134" s="99"/>
      <c r="FS134" s="99"/>
      <c r="FT134" s="99"/>
      <c r="FU134" s="99"/>
      <c r="FV134" s="99"/>
      <c r="FW134" s="99"/>
      <c r="FX134" s="99"/>
      <c r="FY134" s="99"/>
      <c r="FZ134" s="99"/>
      <c r="GA134" s="99"/>
      <c r="GB134" s="99"/>
      <c r="GC134" s="99"/>
      <c r="GD134" s="99"/>
      <c r="GE134" s="99"/>
      <c r="GF134" s="99"/>
      <c r="GG134" s="99"/>
      <c r="GH134" s="99"/>
      <c r="GI134" s="99"/>
      <c r="GJ134" s="99"/>
      <c r="GK134" s="99"/>
      <c r="GL134" s="99"/>
      <c r="GM134" s="99"/>
      <c r="GN134" s="99"/>
      <c r="GO134" s="99"/>
      <c r="GP134" s="99"/>
      <c r="GQ134" s="99"/>
      <c r="GR134" s="99"/>
      <c r="GS134" s="99"/>
      <c r="GT134" s="99"/>
      <c r="GU134" s="99"/>
      <c r="GV134" s="99"/>
      <c r="GW134" s="99"/>
      <c r="GX134" s="99"/>
      <c r="GY134" s="99"/>
      <c r="GZ134" s="99"/>
      <c r="HA134" s="99"/>
      <c r="HB134" s="99"/>
      <c r="HC134" s="99"/>
      <c r="HD134" s="99"/>
      <c r="HE134" s="99"/>
      <c r="HF134" s="99"/>
      <c r="HG134" s="99"/>
      <c r="HH134" s="99"/>
      <c r="HI134" s="99"/>
      <c r="HJ134" s="99"/>
      <c r="HK134" s="99"/>
      <c r="HL134" s="99"/>
      <c r="HM134" s="99"/>
      <c r="HN134" s="99"/>
      <c r="HO134" s="99"/>
      <c r="HP134" s="99"/>
      <c r="HQ134" s="99"/>
      <c r="HR134" s="99"/>
      <c r="HS134" s="99"/>
      <c r="HT134" s="99"/>
      <c r="HU134" s="99"/>
      <c r="HV134" s="99"/>
      <c r="HW134" s="99"/>
      <c r="HX134" s="99"/>
      <c r="HY134" s="99"/>
      <c r="HZ134" s="99"/>
      <c r="IA134" s="99"/>
      <c r="IB134" s="99"/>
      <c r="IC134" s="99"/>
      <c r="ID134" s="99"/>
      <c r="IE134" s="99"/>
      <c r="IF134" s="99"/>
      <c r="IG134" s="99"/>
      <c r="IH134" s="99"/>
      <c r="II134" s="99"/>
      <c r="IJ134" s="99"/>
    </row>
    <row r="135" spans="1:254" ht="32.25" customHeight="1" thickBot="1">
      <c r="B135" s="281" t="s">
        <v>213</v>
      </c>
      <c r="C135" s="206" t="s">
        <v>304</v>
      </c>
      <c r="D135" s="155" t="s">
        <v>141</v>
      </c>
      <c r="E135" s="211">
        <v>0</v>
      </c>
      <c r="F135" s="131"/>
      <c r="G135" s="211" t="s">
        <v>264</v>
      </c>
      <c r="H135" s="211">
        <v>0</v>
      </c>
      <c r="I135" s="211" t="s">
        <v>264</v>
      </c>
      <c r="J135" s="211">
        <v>0</v>
      </c>
      <c r="K135" s="211"/>
      <c r="L135" s="211"/>
      <c r="M135" s="211"/>
      <c r="N135" s="211"/>
      <c r="O135" s="130">
        <f>0.888*O129/1000</f>
        <v>0.11766</v>
      </c>
      <c r="P135" s="128"/>
      <c r="Q135" s="125"/>
      <c r="R135" s="125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  <c r="AY135" s="99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C135" s="99"/>
      <c r="DD135" s="99"/>
      <c r="DE135" s="99"/>
      <c r="DF135" s="99"/>
      <c r="DG135" s="99"/>
      <c r="DH135" s="99"/>
      <c r="DI135" s="99"/>
      <c r="DJ135" s="99"/>
      <c r="DK135" s="99"/>
      <c r="DL135" s="99"/>
      <c r="DM135" s="99"/>
      <c r="DN135" s="99"/>
      <c r="DO135" s="99"/>
      <c r="DP135" s="99"/>
      <c r="DQ135" s="99"/>
      <c r="DR135" s="99"/>
      <c r="DS135" s="99"/>
      <c r="DT135" s="99"/>
      <c r="DU135" s="99"/>
      <c r="DV135" s="99"/>
      <c r="DW135" s="99"/>
      <c r="DX135" s="99"/>
      <c r="DY135" s="99"/>
      <c r="DZ135" s="99"/>
      <c r="EA135" s="99"/>
      <c r="EB135" s="99"/>
      <c r="EC135" s="99"/>
      <c r="ED135" s="99"/>
      <c r="EE135" s="99"/>
      <c r="EF135" s="99"/>
      <c r="EG135" s="99"/>
      <c r="EH135" s="99"/>
      <c r="EI135" s="99"/>
      <c r="EJ135" s="99"/>
      <c r="EK135" s="99"/>
      <c r="EL135" s="99"/>
      <c r="EM135" s="99"/>
      <c r="EN135" s="99"/>
      <c r="EO135" s="99"/>
      <c r="EP135" s="99"/>
      <c r="EQ135" s="99"/>
      <c r="ER135" s="99"/>
      <c r="ES135" s="99"/>
      <c r="ET135" s="99"/>
      <c r="EU135" s="99"/>
      <c r="EV135" s="99"/>
      <c r="EW135" s="99"/>
      <c r="EX135" s="99"/>
      <c r="EY135" s="99"/>
      <c r="EZ135" s="99"/>
      <c r="FA135" s="99"/>
      <c r="FB135" s="99"/>
      <c r="FC135" s="99"/>
      <c r="FD135" s="99"/>
      <c r="FE135" s="99"/>
      <c r="FF135" s="99"/>
      <c r="FG135" s="99"/>
      <c r="FH135" s="99"/>
      <c r="FI135" s="99"/>
      <c r="FJ135" s="99"/>
      <c r="FK135" s="99"/>
      <c r="FL135" s="99"/>
      <c r="FM135" s="99"/>
      <c r="FN135" s="99"/>
      <c r="FO135" s="99"/>
      <c r="FP135" s="99"/>
      <c r="FQ135" s="99"/>
      <c r="FR135" s="99"/>
      <c r="FS135" s="99"/>
      <c r="FT135" s="99"/>
      <c r="FU135" s="99"/>
      <c r="FV135" s="99"/>
      <c r="FW135" s="99"/>
      <c r="FX135" s="99"/>
      <c r="FY135" s="99"/>
      <c r="FZ135" s="99"/>
      <c r="GA135" s="99"/>
      <c r="GB135" s="99"/>
      <c r="GC135" s="99"/>
      <c r="GD135" s="99"/>
      <c r="GE135" s="99"/>
      <c r="GF135" s="99"/>
      <c r="GG135" s="99"/>
      <c r="GH135" s="99"/>
      <c r="GI135" s="99"/>
      <c r="GJ135" s="99"/>
      <c r="GK135" s="99"/>
      <c r="GL135" s="99"/>
      <c r="GM135" s="99"/>
      <c r="GN135" s="99"/>
      <c r="GO135" s="99"/>
      <c r="GP135" s="99"/>
      <c r="GQ135" s="99"/>
      <c r="GR135" s="99"/>
      <c r="GS135" s="99"/>
      <c r="GT135" s="99"/>
      <c r="GU135" s="99"/>
      <c r="GV135" s="99"/>
      <c r="GW135" s="99"/>
      <c r="GX135" s="99"/>
      <c r="GY135" s="99"/>
      <c r="GZ135" s="99"/>
      <c r="HA135" s="99"/>
      <c r="HB135" s="99"/>
      <c r="HC135" s="99"/>
      <c r="HD135" s="99"/>
      <c r="HE135" s="99"/>
      <c r="HF135" s="99"/>
      <c r="HG135" s="99"/>
      <c r="HH135" s="99"/>
      <c r="HI135" s="99"/>
      <c r="HJ135" s="99"/>
      <c r="HK135" s="99"/>
      <c r="HL135" s="99"/>
      <c r="HM135" s="99"/>
      <c r="HN135" s="99"/>
      <c r="HO135" s="99"/>
      <c r="HP135" s="99"/>
      <c r="HQ135" s="99"/>
      <c r="HR135" s="99"/>
      <c r="HS135" s="99"/>
      <c r="HT135" s="99"/>
      <c r="HU135" s="99"/>
      <c r="HV135" s="99"/>
      <c r="HW135" s="99"/>
      <c r="HX135" s="99"/>
      <c r="HY135" s="99"/>
      <c r="HZ135" s="99"/>
      <c r="IA135" s="99"/>
      <c r="IB135" s="99"/>
      <c r="IC135" s="99"/>
      <c r="ID135" s="99"/>
      <c r="IE135" s="99"/>
      <c r="IF135" s="99"/>
      <c r="IG135" s="99"/>
      <c r="IH135" s="99"/>
      <c r="II135" s="99"/>
      <c r="IJ135" s="99"/>
    </row>
    <row r="136" spans="1:254">
      <c r="B136" s="203"/>
      <c r="C136" s="280" t="s">
        <v>261</v>
      </c>
      <c r="D136" s="175"/>
      <c r="E136" s="178"/>
      <c r="F136" s="175"/>
      <c r="G136" s="177"/>
      <c r="H136" s="178"/>
      <c r="I136" s="177"/>
      <c r="J136" s="178"/>
      <c r="K136" s="177"/>
      <c r="L136" s="178"/>
      <c r="M136" s="177"/>
      <c r="N136" s="178"/>
      <c r="O136" s="649">
        <v>132.5</v>
      </c>
      <c r="P136" s="649"/>
      <c r="Q136" s="144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K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BY136" s="99"/>
      <c r="BZ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M136" s="99"/>
      <c r="CN136" s="99"/>
      <c r="CO136" s="99"/>
      <c r="CP136" s="99"/>
      <c r="CQ136" s="99"/>
      <c r="CR136" s="99"/>
      <c r="CS136" s="99"/>
      <c r="CT136" s="99"/>
      <c r="CU136" s="99"/>
      <c r="CV136" s="99"/>
      <c r="CW136" s="99"/>
      <c r="CX136" s="99"/>
      <c r="CY136" s="99"/>
      <c r="CZ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  <c r="DT136" s="99"/>
      <c r="DU136" s="99"/>
      <c r="DV136" s="99"/>
      <c r="DW136" s="99"/>
      <c r="DX136" s="99"/>
      <c r="DY136" s="99"/>
      <c r="DZ136" s="99"/>
      <c r="EA136" s="99"/>
      <c r="EB136" s="99"/>
      <c r="EC136" s="99"/>
      <c r="ED136" s="99"/>
      <c r="EE136" s="99"/>
      <c r="EF136" s="99"/>
      <c r="EG136" s="99"/>
      <c r="EH136" s="99"/>
      <c r="EI136" s="99"/>
      <c r="EJ136" s="99"/>
      <c r="EK136" s="99"/>
      <c r="EL136" s="99"/>
      <c r="EM136" s="99"/>
      <c r="EN136" s="99"/>
      <c r="EO136" s="99"/>
      <c r="EP136" s="99"/>
      <c r="EQ136" s="99"/>
      <c r="ER136" s="99"/>
      <c r="ES136" s="99"/>
      <c r="ET136" s="99"/>
      <c r="EU136" s="99"/>
      <c r="EV136" s="99"/>
      <c r="EW136" s="99"/>
      <c r="EX136" s="99"/>
      <c r="EY136" s="99"/>
      <c r="EZ136" s="99"/>
      <c r="FA136" s="99"/>
      <c r="FB136" s="99"/>
      <c r="FC136" s="99"/>
      <c r="FD136" s="99"/>
      <c r="FE136" s="99"/>
      <c r="FF136" s="99"/>
      <c r="FG136" s="99"/>
      <c r="FH136" s="99"/>
      <c r="FI136" s="99"/>
      <c r="FJ136" s="99"/>
      <c r="FK136" s="99"/>
      <c r="FL136" s="99"/>
      <c r="FM136" s="99"/>
      <c r="FN136" s="99"/>
      <c r="FO136" s="99"/>
      <c r="FP136" s="99"/>
      <c r="FQ136" s="99"/>
      <c r="FR136" s="99"/>
      <c r="FS136" s="99"/>
      <c r="FT136" s="99"/>
      <c r="FU136" s="99"/>
      <c r="FV136" s="99"/>
      <c r="FW136" s="99"/>
      <c r="FX136" s="99"/>
      <c r="FY136" s="99"/>
      <c r="FZ136" s="99"/>
      <c r="GA136" s="99"/>
      <c r="GB136" s="99"/>
      <c r="GC136" s="99"/>
      <c r="GD136" s="99"/>
      <c r="GE136" s="99"/>
      <c r="GF136" s="99"/>
      <c r="GG136" s="99"/>
      <c r="GH136" s="99"/>
      <c r="GI136" s="99"/>
      <c r="GJ136" s="99"/>
      <c r="GK136" s="99"/>
      <c r="GL136" s="99"/>
      <c r="GM136" s="99"/>
      <c r="GN136" s="99"/>
      <c r="GO136" s="99"/>
      <c r="GP136" s="99"/>
      <c r="GQ136" s="99"/>
      <c r="GR136" s="99"/>
      <c r="GS136" s="99"/>
      <c r="GT136" s="99"/>
      <c r="GU136" s="99"/>
      <c r="GV136" s="99"/>
      <c r="GW136" s="99"/>
      <c r="GX136" s="99"/>
      <c r="GY136" s="99"/>
      <c r="GZ136" s="99"/>
      <c r="HA136" s="99"/>
      <c r="HB136" s="99"/>
      <c r="HC136" s="99"/>
      <c r="HD136" s="99"/>
      <c r="HE136" s="99"/>
      <c r="HF136" s="99"/>
      <c r="HG136" s="99"/>
      <c r="HH136" s="99"/>
      <c r="HI136" s="99"/>
      <c r="HJ136" s="99"/>
      <c r="HK136" s="99"/>
      <c r="HL136" s="99"/>
      <c r="HM136" s="99"/>
      <c r="HN136" s="99"/>
      <c r="HO136" s="99"/>
      <c r="HP136" s="99"/>
      <c r="HQ136" s="99"/>
      <c r="HR136" s="99"/>
      <c r="HS136" s="99"/>
      <c r="HT136" s="99"/>
      <c r="HU136" s="99"/>
      <c r="HV136" s="99"/>
      <c r="HW136" s="99"/>
      <c r="HX136" s="99"/>
      <c r="HY136" s="99"/>
      <c r="HZ136" s="99"/>
      <c r="IA136" s="99"/>
      <c r="IB136" s="99"/>
      <c r="IC136" s="99"/>
      <c r="ID136" s="99"/>
      <c r="IE136" s="99"/>
      <c r="IF136" s="99"/>
      <c r="IG136" s="99"/>
      <c r="IH136" s="99"/>
      <c r="II136" s="99"/>
      <c r="IJ136" s="99"/>
      <c r="IT136" s="112"/>
    </row>
    <row r="137" spans="1:254" ht="34.5">
      <c r="B137" s="186" t="s">
        <v>214</v>
      </c>
      <c r="C137" s="462" t="s">
        <v>514</v>
      </c>
      <c r="D137" s="136" t="s">
        <v>560</v>
      </c>
      <c r="E137" s="223">
        <v>26.39</v>
      </c>
      <c r="F137" s="249"/>
      <c r="G137" s="159" t="s">
        <v>264</v>
      </c>
      <c r="H137" s="223">
        <v>26.39</v>
      </c>
      <c r="I137" s="159" t="s">
        <v>264</v>
      </c>
      <c r="J137" s="223">
        <v>26.39</v>
      </c>
      <c r="K137" s="434"/>
      <c r="L137" s="460"/>
      <c r="M137" s="434"/>
      <c r="N137" s="460"/>
      <c r="O137" s="179">
        <f>0.22*0.7*O136</f>
        <v>20.405000000000001</v>
      </c>
      <c r="P137" s="179">
        <f>0.154*O136</f>
        <v>20.405000000000001</v>
      </c>
      <c r="Q137" s="144">
        <f>26.14+0.15</f>
        <v>26.29</v>
      </c>
      <c r="R137" s="144">
        <f>Q137-L137</f>
        <v>26.29</v>
      </c>
      <c r="S137" s="99">
        <f>26.39</f>
        <v>26.39</v>
      </c>
      <c r="T137" s="144">
        <f>S137-J137</f>
        <v>0</v>
      </c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  <c r="AY137" s="99"/>
      <c r="AZ137" s="99"/>
      <c r="BA137" s="99"/>
      <c r="BB137" s="99"/>
      <c r="BC137" s="99"/>
      <c r="BD137" s="99"/>
      <c r="BE137" s="99"/>
      <c r="BF137" s="99"/>
      <c r="BG137" s="99"/>
      <c r="BH137" s="99"/>
      <c r="BI137" s="99"/>
      <c r="BJ137" s="99"/>
      <c r="BK137" s="99"/>
      <c r="BL137" s="99"/>
      <c r="BM137" s="99"/>
      <c r="BN137" s="99"/>
      <c r="BO137" s="99"/>
      <c r="BP137" s="99"/>
      <c r="BQ137" s="99"/>
      <c r="BR137" s="99"/>
      <c r="BS137" s="99"/>
      <c r="BT137" s="99"/>
      <c r="BU137" s="99"/>
      <c r="BV137" s="99"/>
      <c r="BW137" s="99"/>
      <c r="BX137" s="99"/>
      <c r="BY137" s="99"/>
      <c r="BZ137" s="99"/>
      <c r="CA137" s="99"/>
      <c r="CB137" s="99"/>
      <c r="CC137" s="99"/>
      <c r="CD137" s="99"/>
      <c r="CE137" s="99"/>
      <c r="CF137" s="99"/>
      <c r="CG137" s="99"/>
      <c r="CH137" s="99"/>
      <c r="CI137" s="99"/>
      <c r="CJ137" s="99"/>
      <c r="CK137" s="99"/>
      <c r="CL137" s="99"/>
      <c r="CM137" s="99"/>
      <c r="CN137" s="99"/>
      <c r="CO137" s="99"/>
      <c r="CP137" s="99"/>
      <c r="CQ137" s="99"/>
      <c r="CR137" s="99"/>
      <c r="CS137" s="99"/>
      <c r="CT137" s="99"/>
      <c r="CU137" s="99"/>
      <c r="CV137" s="99"/>
      <c r="CW137" s="99"/>
      <c r="CX137" s="99"/>
      <c r="CY137" s="99"/>
      <c r="CZ137" s="99"/>
      <c r="DA137" s="99"/>
      <c r="DB137" s="99"/>
      <c r="DC137" s="99"/>
      <c r="DD137" s="99"/>
      <c r="DE137" s="99"/>
      <c r="DF137" s="99"/>
      <c r="DG137" s="99"/>
      <c r="DH137" s="99"/>
      <c r="DI137" s="99"/>
      <c r="DJ137" s="99"/>
      <c r="DK137" s="99"/>
      <c r="DL137" s="99"/>
      <c r="DM137" s="99"/>
      <c r="DN137" s="99"/>
      <c r="DO137" s="99"/>
      <c r="DP137" s="99"/>
      <c r="DQ137" s="99"/>
      <c r="DR137" s="99"/>
      <c r="DS137" s="99"/>
      <c r="DT137" s="99"/>
      <c r="DU137" s="99"/>
      <c r="DV137" s="99"/>
      <c r="DW137" s="99"/>
      <c r="DX137" s="99"/>
      <c r="DY137" s="99"/>
      <c r="DZ137" s="99"/>
      <c r="EA137" s="99"/>
      <c r="EB137" s="99"/>
      <c r="EC137" s="99"/>
      <c r="ED137" s="99"/>
      <c r="EE137" s="99"/>
      <c r="EF137" s="99"/>
      <c r="EG137" s="99"/>
      <c r="EH137" s="99"/>
      <c r="EI137" s="99"/>
      <c r="EJ137" s="99"/>
      <c r="EK137" s="99"/>
      <c r="EL137" s="99"/>
      <c r="EM137" s="99"/>
      <c r="EN137" s="99"/>
      <c r="EO137" s="99"/>
      <c r="EP137" s="99"/>
      <c r="EQ137" s="99"/>
      <c r="ER137" s="99"/>
      <c r="ES137" s="99"/>
      <c r="ET137" s="99"/>
      <c r="EU137" s="99"/>
      <c r="EV137" s="99"/>
      <c r="EW137" s="99"/>
      <c r="EX137" s="99"/>
      <c r="EY137" s="99"/>
      <c r="EZ137" s="99"/>
      <c r="FA137" s="99"/>
      <c r="FB137" s="99"/>
      <c r="FC137" s="99"/>
      <c r="FD137" s="99"/>
      <c r="FE137" s="99"/>
      <c r="FF137" s="99"/>
      <c r="FG137" s="99"/>
      <c r="FH137" s="99"/>
      <c r="FI137" s="99"/>
      <c r="FJ137" s="99"/>
      <c r="FK137" s="99"/>
      <c r="FL137" s="99"/>
      <c r="FM137" s="99"/>
      <c r="FN137" s="99"/>
      <c r="FO137" s="99"/>
      <c r="FP137" s="99"/>
      <c r="FQ137" s="99"/>
      <c r="FR137" s="99"/>
      <c r="FS137" s="99"/>
      <c r="FT137" s="99"/>
      <c r="FU137" s="99"/>
      <c r="FV137" s="99"/>
      <c r="FW137" s="99"/>
      <c r="FX137" s="99"/>
      <c r="FY137" s="99"/>
      <c r="FZ137" s="99"/>
      <c r="GA137" s="99"/>
      <c r="GB137" s="99"/>
      <c r="GC137" s="99"/>
      <c r="GD137" s="99"/>
      <c r="GE137" s="99"/>
      <c r="GF137" s="99"/>
      <c r="GG137" s="99"/>
      <c r="GH137" s="99"/>
      <c r="GI137" s="99"/>
      <c r="GJ137" s="99"/>
      <c r="GK137" s="99"/>
      <c r="GL137" s="99"/>
      <c r="GM137" s="99"/>
      <c r="GN137" s="99"/>
      <c r="GO137" s="99"/>
      <c r="GP137" s="99"/>
      <c r="GQ137" s="99"/>
      <c r="GR137" s="99"/>
      <c r="GS137" s="99"/>
      <c r="GT137" s="99"/>
      <c r="GU137" s="99"/>
      <c r="GV137" s="99"/>
      <c r="GW137" s="99"/>
      <c r="GX137" s="99"/>
      <c r="GY137" s="99"/>
      <c r="GZ137" s="99"/>
      <c r="HA137" s="99"/>
      <c r="HB137" s="99"/>
      <c r="HC137" s="99"/>
      <c r="HD137" s="99"/>
      <c r="HE137" s="99"/>
      <c r="HF137" s="99"/>
      <c r="HG137" s="99"/>
      <c r="HH137" s="99"/>
      <c r="HI137" s="99"/>
      <c r="HJ137" s="99"/>
      <c r="HK137" s="99"/>
      <c r="HL137" s="99"/>
      <c r="HM137" s="99"/>
      <c r="HN137" s="99"/>
      <c r="HO137" s="99"/>
      <c r="HP137" s="99"/>
      <c r="HQ137" s="99"/>
      <c r="HR137" s="99"/>
      <c r="HS137" s="99"/>
      <c r="HT137" s="99"/>
      <c r="HU137" s="99"/>
      <c r="HV137" s="99"/>
      <c r="HW137" s="99"/>
      <c r="HX137" s="99"/>
      <c r="HY137" s="99"/>
      <c r="HZ137" s="99"/>
      <c r="IA137" s="99"/>
      <c r="IB137" s="99"/>
      <c r="IC137" s="99"/>
      <c r="ID137" s="99"/>
      <c r="IE137" s="99"/>
      <c r="IF137" s="99"/>
      <c r="IG137" s="99"/>
      <c r="IH137" s="99"/>
      <c r="II137" s="99"/>
      <c r="IJ137" s="99"/>
    </row>
    <row r="138" spans="1:254" ht="18.75">
      <c r="B138" s="581" t="s">
        <v>556</v>
      </c>
      <c r="C138" s="582" t="s">
        <v>173</v>
      </c>
      <c r="D138" s="583" t="s">
        <v>567</v>
      </c>
      <c r="E138" s="587" t="s">
        <v>264</v>
      </c>
      <c r="F138" s="585"/>
      <c r="G138" s="586">
        <v>4.51</v>
      </c>
      <c r="H138" s="584">
        <v>4.51</v>
      </c>
      <c r="I138" s="586" t="s">
        <v>264</v>
      </c>
      <c r="J138" s="584">
        <v>4.51</v>
      </c>
      <c r="K138" s="588"/>
      <c r="L138" s="589"/>
      <c r="M138" s="588"/>
      <c r="N138" s="589"/>
      <c r="O138" s="179"/>
      <c r="P138" s="179"/>
      <c r="Q138" s="144"/>
      <c r="R138" s="144"/>
      <c r="S138" s="99"/>
      <c r="T138" s="144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  <c r="AY138" s="99"/>
      <c r="AZ138" s="99"/>
      <c r="BA138" s="99"/>
      <c r="BB138" s="99"/>
      <c r="BC138" s="99"/>
      <c r="BD138" s="99"/>
      <c r="BE138" s="99"/>
      <c r="BF138" s="99"/>
      <c r="BG138" s="99"/>
      <c r="BH138" s="99"/>
      <c r="BI138" s="99"/>
      <c r="BJ138" s="99"/>
      <c r="BK138" s="99"/>
      <c r="BL138" s="99"/>
      <c r="BM138" s="99"/>
      <c r="BN138" s="99"/>
      <c r="BO138" s="99"/>
      <c r="BP138" s="99"/>
      <c r="BQ138" s="99"/>
      <c r="BR138" s="99"/>
      <c r="BS138" s="99"/>
      <c r="BT138" s="99"/>
      <c r="BU138" s="99"/>
      <c r="BV138" s="99"/>
      <c r="BW138" s="99"/>
      <c r="BX138" s="99"/>
      <c r="BY138" s="99"/>
      <c r="BZ138" s="99"/>
      <c r="CA138" s="99"/>
      <c r="CB138" s="99"/>
      <c r="CC138" s="99"/>
      <c r="CD138" s="99"/>
      <c r="CE138" s="99"/>
      <c r="CF138" s="99"/>
      <c r="CG138" s="99"/>
      <c r="CH138" s="99"/>
      <c r="CI138" s="99"/>
      <c r="CJ138" s="99"/>
      <c r="CK138" s="99"/>
      <c r="CL138" s="99"/>
      <c r="CM138" s="99"/>
      <c r="CN138" s="99"/>
      <c r="CO138" s="99"/>
      <c r="CP138" s="99"/>
      <c r="CQ138" s="99"/>
      <c r="CR138" s="99"/>
      <c r="CS138" s="99"/>
      <c r="CT138" s="99"/>
      <c r="CU138" s="99"/>
      <c r="CV138" s="99"/>
      <c r="CW138" s="99"/>
      <c r="CX138" s="99"/>
      <c r="CY138" s="99"/>
      <c r="CZ138" s="99"/>
      <c r="DA138" s="99"/>
      <c r="DB138" s="99"/>
      <c r="DC138" s="99"/>
      <c r="DD138" s="99"/>
      <c r="DE138" s="99"/>
      <c r="DF138" s="99"/>
      <c r="DG138" s="99"/>
      <c r="DH138" s="99"/>
      <c r="DI138" s="99"/>
      <c r="DJ138" s="99"/>
      <c r="DK138" s="99"/>
      <c r="DL138" s="99"/>
      <c r="DM138" s="99"/>
      <c r="DN138" s="99"/>
      <c r="DO138" s="99"/>
      <c r="DP138" s="99"/>
      <c r="DQ138" s="99"/>
      <c r="DR138" s="99"/>
      <c r="DS138" s="99"/>
      <c r="DT138" s="99"/>
      <c r="DU138" s="99"/>
      <c r="DV138" s="99"/>
      <c r="DW138" s="99"/>
      <c r="DX138" s="99"/>
      <c r="DY138" s="99"/>
      <c r="DZ138" s="99"/>
      <c r="EA138" s="99"/>
      <c r="EB138" s="99"/>
      <c r="EC138" s="99"/>
      <c r="ED138" s="99"/>
      <c r="EE138" s="99"/>
      <c r="EF138" s="99"/>
      <c r="EG138" s="99"/>
      <c r="EH138" s="99"/>
      <c r="EI138" s="99"/>
      <c r="EJ138" s="99"/>
      <c r="EK138" s="99"/>
      <c r="EL138" s="99"/>
      <c r="EM138" s="99"/>
      <c r="EN138" s="99"/>
      <c r="EO138" s="99"/>
      <c r="EP138" s="99"/>
      <c r="EQ138" s="99"/>
      <c r="ER138" s="99"/>
      <c r="ES138" s="99"/>
      <c r="ET138" s="99"/>
      <c r="EU138" s="99"/>
      <c r="EV138" s="99"/>
      <c r="EW138" s="99"/>
      <c r="EX138" s="99"/>
      <c r="EY138" s="99"/>
      <c r="EZ138" s="99"/>
      <c r="FA138" s="99"/>
      <c r="FB138" s="99"/>
      <c r="FC138" s="99"/>
      <c r="FD138" s="99"/>
      <c r="FE138" s="99"/>
      <c r="FF138" s="99"/>
      <c r="FG138" s="99"/>
      <c r="FH138" s="99"/>
      <c r="FI138" s="99"/>
      <c r="FJ138" s="99"/>
      <c r="FK138" s="99"/>
      <c r="FL138" s="99"/>
      <c r="FM138" s="99"/>
      <c r="FN138" s="99"/>
      <c r="FO138" s="99"/>
      <c r="FP138" s="99"/>
      <c r="FQ138" s="99"/>
      <c r="FR138" s="99"/>
      <c r="FS138" s="99"/>
      <c r="FT138" s="99"/>
      <c r="FU138" s="99"/>
      <c r="FV138" s="99"/>
      <c r="FW138" s="99"/>
      <c r="FX138" s="99"/>
      <c r="FY138" s="99"/>
      <c r="FZ138" s="99"/>
      <c r="GA138" s="99"/>
      <c r="GB138" s="99"/>
      <c r="GC138" s="99"/>
      <c r="GD138" s="99"/>
      <c r="GE138" s="99"/>
      <c r="GF138" s="99"/>
      <c r="GG138" s="99"/>
      <c r="GH138" s="99"/>
      <c r="GI138" s="99"/>
      <c r="GJ138" s="99"/>
      <c r="GK138" s="99"/>
      <c r="GL138" s="99"/>
      <c r="GM138" s="99"/>
      <c r="GN138" s="99"/>
      <c r="GO138" s="99"/>
      <c r="GP138" s="99"/>
      <c r="GQ138" s="99"/>
      <c r="GR138" s="99"/>
      <c r="GS138" s="99"/>
      <c r="GT138" s="99"/>
      <c r="GU138" s="99"/>
      <c r="GV138" s="99"/>
      <c r="GW138" s="99"/>
      <c r="GX138" s="99"/>
      <c r="GY138" s="99"/>
      <c r="GZ138" s="99"/>
      <c r="HA138" s="99"/>
      <c r="HB138" s="99"/>
      <c r="HC138" s="99"/>
      <c r="HD138" s="99"/>
      <c r="HE138" s="99"/>
      <c r="HF138" s="99"/>
      <c r="HG138" s="99"/>
      <c r="HH138" s="99"/>
      <c r="HI138" s="99"/>
      <c r="HJ138" s="99"/>
      <c r="HK138" s="99"/>
      <c r="HL138" s="99"/>
      <c r="HM138" s="99"/>
      <c r="HN138" s="99"/>
      <c r="HO138" s="99"/>
      <c r="HP138" s="99"/>
      <c r="HQ138" s="99"/>
      <c r="HR138" s="99"/>
      <c r="HS138" s="99"/>
      <c r="HT138" s="99"/>
      <c r="HU138" s="99"/>
      <c r="HV138" s="99"/>
      <c r="HW138" s="99"/>
      <c r="HX138" s="99"/>
      <c r="HY138" s="99"/>
      <c r="HZ138" s="99"/>
      <c r="IA138" s="99"/>
      <c r="IB138" s="99"/>
      <c r="IC138" s="99"/>
      <c r="ID138" s="99"/>
      <c r="IE138" s="99"/>
      <c r="IF138" s="99"/>
      <c r="IG138" s="99"/>
      <c r="IH138" s="99"/>
      <c r="II138" s="99"/>
      <c r="IJ138" s="99"/>
    </row>
    <row r="139" spans="1:254" ht="31.5">
      <c r="B139" s="185" t="s">
        <v>215</v>
      </c>
      <c r="C139" s="206" t="s">
        <v>260</v>
      </c>
      <c r="D139" s="155" t="s">
        <v>141</v>
      </c>
      <c r="E139" s="259">
        <v>1.2030000000000001</v>
      </c>
      <c r="F139" s="156"/>
      <c r="G139" s="211" t="s">
        <v>264</v>
      </c>
      <c r="H139" s="259">
        <v>1.2030000000000001</v>
      </c>
      <c r="I139" s="211" t="s">
        <v>264</v>
      </c>
      <c r="J139" s="259">
        <v>1.2030000000000001</v>
      </c>
      <c r="K139" s="414"/>
      <c r="L139" s="544"/>
      <c r="M139" s="414"/>
      <c r="N139" s="544"/>
      <c r="O139" s="180">
        <f>(6*0.888*O136)/1000</f>
        <v>0.70596000000000003</v>
      </c>
      <c r="P139" s="179">
        <f>1197.42/1000</f>
        <v>1.1974200000000002</v>
      </c>
      <c r="Q139" s="144">
        <f>P139-O139</f>
        <v>0.49146000000000012</v>
      </c>
      <c r="R139" s="561">
        <v>1.2027399999999999</v>
      </c>
      <c r="S139" s="562">
        <f>R139-J139</f>
        <v>-2.60000000000149E-4</v>
      </c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  <c r="AY139" s="99"/>
      <c r="AZ139" s="99"/>
      <c r="BA139" s="99"/>
      <c r="BB139" s="99"/>
      <c r="BC139" s="99"/>
      <c r="BD139" s="99"/>
      <c r="BE139" s="99"/>
      <c r="BF139" s="99"/>
      <c r="BG139" s="99"/>
      <c r="BH139" s="99"/>
      <c r="BI139" s="99"/>
      <c r="BJ139" s="99"/>
      <c r="BK139" s="99"/>
      <c r="BL139" s="99"/>
      <c r="BM139" s="99"/>
      <c r="BN139" s="99"/>
      <c r="BO139" s="99"/>
      <c r="BP139" s="99"/>
      <c r="BQ139" s="99"/>
      <c r="BR139" s="99"/>
      <c r="BS139" s="99"/>
      <c r="BT139" s="99"/>
      <c r="BU139" s="99"/>
      <c r="BV139" s="99"/>
      <c r="BW139" s="99"/>
      <c r="BX139" s="99"/>
      <c r="BY139" s="99"/>
      <c r="BZ139" s="99"/>
      <c r="CA139" s="99"/>
      <c r="CB139" s="99"/>
      <c r="CC139" s="99"/>
      <c r="CD139" s="99"/>
      <c r="CE139" s="99"/>
      <c r="CF139" s="99"/>
      <c r="CG139" s="99"/>
      <c r="CH139" s="99"/>
      <c r="CI139" s="99"/>
      <c r="CJ139" s="99"/>
      <c r="CK139" s="99"/>
      <c r="CL139" s="99"/>
      <c r="CM139" s="99"/>
      <c r="CN139" s="99"/>
      <c r="CO139" s="99"/>
      <c r="CP139" s="99"/>
      <c r="CQ139" s="99"/>
      <c r="CR139" s="99"/>
      <c r="CS139" s="99"/>
      <c r="CT139" s="99"/>
      <c r="CU139" s="99"/>
      <c r="CV139" s="99"/>
      <c r="CW139" s="99"/>
      <c r="CX139" s="99"/>
      <c r="CY139" s="99"/>
      <c r="CZ139" s="99"/>
      <c r="DA139" s="99"/>
      <c r="DB139" s="99"/>
      <c r="DC139" s="99"/>
      <c r="DD139" s="99"/>
      <c r="DE139" s="99"/>
      <c r="DF139" s="99"/>
      <c r="DG139" s="99"/>
      <c r="DH139" s="99"/>
      <c r="DI139" s="99"/>
      <c r="DJ139" s="99"/>
      <c r="DK139" s="99"/>
      <c r="DL139" s="99"/>
      <c r="DM139" s="99"/>
      <c r="DN139" s="99"/>
      <c r="DO139" s="99"/>
      <c r="DP139" s="99"/>
      <c r="DQ139" s="99"/>
      <c r="DR139" s="99"/>
      <c r="DS139" s="99"/>
      <c r="DT139" s="99"/>
      <c r="DU139" s="99"/>
      <c r="DV139" s="99"/>
      <c r="DW139" s="99"/>
      <c r="DX139" s="99"/>
      <c r="DY139" s="99"/>
      <c r="DZ139" s="99"/>
      <c r="EA139" s="99"/>
      <c r="EB139" s="99"/>
      <c r="EC139" s="99"/>
      <c r="ED139" s="99"/>
      <c r="EE139" s="99"/>
      <c r="EF139" s="99"/>
      <c r="EG139" s="99"/>
      <c r="EH139" s="99"/>
      <c r="EI139" s="99"/>
      <c r="EJ139" s="99"/>
      <c r="EK139" s="99"/>
      <c r="EL139" s="99"/>
      <c r="EM139" s="99"/>
      <c r="EN139" s="99"/>
      <c r="EO139" s="99"/>
      <c r="EP139" s="99"/>
      <c r="EQ139" s="99"/>
      <c r="ER139" s="99"/>
      <c r="ES139" s="99"/>
      <c r="ET139" s="99"/>
      <c r="EU139" s="99"/>
      <c r="EV139" s="99"/>
      <c r="EW139" s="99"/>
      <c r="EX139" s="99"/>
      <c r="EY139" s="99"/>
      <c r="EZ139" s="99"/>
      <c r="FA139" s="99"/>
      <c r="FB139" s="99"/>
      <c r="FC139" s="99"/>
      <c r="FD139" s="99"/>
      <c r="FE139" s="99"/>
      <c r="FF139" s="99"/>
      <c r="FG139" s="99"/>
      <c r="FH139" s="99"/>
      <c r="FI139" s="99"/>
      <c r="FJ139" s="99"/>
      <c r="FK139" s="99"/>
      <c r="FL139" s="99"/>
      <c r="FM139" s="99"/>
      <c r="FN139" s="99"/>
      <c r="FO139" s="99"/>
      <c r="FP139" s="99"/>
      <c r="FQ139" s="99"/>
      <c r="FR139" s="99"/>
      <c r="FS139" s="99"/>
      <c r="FT139" s="99"/>
      <c r="FU139" s="99"/>
      <c r="FV139" s="99"/>
      <c r="FW139" s="99"/>
      <c r="FX139" s="99"/>
      <c r="FY139" s="99"/>
      <c r="FZ139" s="99"/>
      <c r="GA139" s="99"/>
      <c r="GB139" s="99"/>
      <c r="GC139" s="99"/>
      <c r="GD139" s="99"/>
      <c r="GE139" s="99"/>
      <c r="GF139" s="99"/>
      <c r="GG139" s="99"/>
      <c r="GH139" s="99"/>
      <c r="GI139" s="99"/>
      <c r="GJ139" s="99"/>
      <c r="GK139" s="99"/>
      <c r="GL139" s="99"/>
      <c r="GM139" s="99"/>
      <c r="GN139" s="99"/>
      <c r="GO139" s="99"/>
      <c r="GP139" s="99"/>
      <c r="GQ139" s="99"/>
      <c r="GR139" s="99"/>
      <c r="GS139" s="99"/>
      <c r="GT139" s="99"/>
      <c r="GU139" s="99"/>
      <c r="GV139" s="99"/>
      <c r="GW139" s="99"/>
      <c r="GX139" s="99"/>
      <c r="GY139" s="99"/>
      <c r="GZ139" s="99"/>
      <c r="HA139" s="99"/>
      <c r="HB139" s="99"/>
      <c r="HC139" s="99"/>
      <c r="HD139" s="99"/>
      <c r="HE139" s="99"/>
      <c r="HF139" s="99"/>
      <c r="HG139" s="99"/>
      <c r="HH139" s="99"/>
      <c r="HI139" s="99"/>
      <c r="HJ139" s="99"/>
      <c r="HK139" s="99"/>
      <c r="HL139" s="99"/>
      <c r="HM139" s="99"/>
      <c r="HN139" s="99"/>
      <c r="HO139" s="99"/>
      <c r="HP139" s="99"/>
      <c r="HQ139" s="99"/>
      <c r="HR139" s="99"/>
      <c r="HS139" s="99"/>
      <c r="HT139" s="99"/>
      <c r="HU139" s="99"/>
      <c r="HV139" s="99"/>
      <c r="HW139" s="99"/>
      <c r="HX139" s="99"/>
      <c r="HY139" s="99"/>
      <c r="HZ139" s="99"/>
      <c r="IA139" s="99"/>
      <c r="IB139" s="99"/>
      <c r="IC139" s="99"/>
      <c r="ID139" s="99"/>
      <c r="IE139" s="99"/>
      <c r="IF139" s="99"/>
      <c r="IG139" s="99"/>
      <c r="IH139" s="99"/>
      <c r="II139" s="99"/>
      <c r="IJ139" s="99"/>
    </row>
    <row r="140" spans="1:254" ht="31.5">
      <c r="B140" s="213" t="s">
        <v>216</v>
      </c>
      <c r="C140" s="227" t="s">
        <v>303</v>
      </c>
      <c r="D140" s="188" t="s">
        <v>141</v>
      </c>
      <c r="E140" s="231">
        <v>0.252</v>
      </c>
      <c r="F140" s="163"/>
      <c r="G140" s="215" t="s">
        <v>264</v>
      </c>
      <c r="H140" s="231">
        <v>0.252</v>
      </c>
      <c r="I140" s="215" t="s">
        <v>264</v>
      </c>
      <c r="J140" s="231">
        <v>0.252</v>
      </c>
      <c r="K140" s="440"/>
      <c r="L140" s="524"/>
      <c r="M140" s="440"/>
      <c r="N140" s="524"/>
      <c r="O140" s="181">
        <f>(2*0.86+2*0.12+2*0.51*O136)/1000</f>
        <v>0.13711000000000001</v>
      </c>
      <c r="P140" s="179">
        <f>250.66/1000</f>
        <v>0.25065999999999999</v>
      </c>
      <c r="Q140" s="144">
        <f>P140-L140</f>
        <v>0.25065999999999999</v>
      </c>
      <c r="R140" s="561">
        <v>0.25207000000000002</v>
      </c>
      <c r="S140" s="144">
        <f>R140-J140</f>
        <v>7.0000000000014495E-5</v>
      </c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  <c r="AY140" s="99"/>
      <c r="AZ140" s="99"/>
      <c r="BA140" s="99"/>
      <c r="BB140" s="99"/>
      <c r="BC140" s="99"/>
      <c r="BD140" s="99"/>
      <c r="BE140" s="99"/>
      <c r="BF140" s="99"/>
      <c r="BG140" s="99"/>
      <c r="BH140" s="99"/>
      <c r="BI140" s="99"/>
      <c r="BJ140" s="99"/>
      <c r="BK140" s="99"/>
      <c r="BL140" s="99"/>
      <c r="BM140" s="99"/>
      <c r="BN140" s="99"/>
      <c r="BO140" s="99"/>
      <c r="BP140" s="99"/>
      <c r="BQ140" s="99"/>
      <c r="BR140" s="99"/>
      <c r="BS140" s="99"/>
      <c r="BT140" s="99"/>
      <c r="BU140" s="99"/>
      <c r="BV140" s="99"/>
      <c r="BW140" s="99"/>
      <c r="BX140" s="99"/>
      <c r="BY140" s="99"/>
      <c r="BZ140" s="99"/>
      <c r="CA140" s="99"/>
      <c r="CB140" s="99"/>
      <c r="CC140" s="99"/>
      <c r="CD140" s="99"/>
      <c r="CE140" s="99"/>
      <c r="CF140" s="99"/>
      <c r="CG140" s="99"/>
      <c r="CH140" s="99"/>
      <c r="CI140" s="99"/>
      <c r="CJ140" s="99"/>
      <c r="CK140" s="99"/>
      <c r="CL140" s="99"/>
      <c r="CM140" s="99"/>
      <c r="CN140" s="99"/>
      <c r="CO140" s="99"/>
      <c r="CP140" s="99"/>
      <c r="CQ140" s="99"/>
      <c r="CR140" s="99"/>
      <c r="CS140" s="99"/>
      <c r="CT140" s="99"/>
      <c r="CU140" s="99"/>
      <c r="CV140" s="99"/>
      <c r="CW140" s="99"/>
      <c r="CX140" s="99"/>
      <c r="CY140" s="99"/>
      <c r="CZ140" s="99"/>
      <c r="DA140" s="99"/>
      <c r="DB140" s="99"/>
      <c r="DC140" s="99"/>
      <c r="DD140" s="99"/>
      <c r="DE140" s="99"/>
      <c r="DF140" s="99"/>
      <c r="DG140" s="99"/>
      <c r="DH140" s="99"/>
      <c r="DI140" s="99"/>
      <c r="DJ140" s="99"/>
      <c r="DK140" s="99"/>
      <c r="DL140" s="99"/>
      <c r="DM140" s="99"/>
      <c r="DN140" s="99"/>
      <c r="DO140" s="99"/>
      <c r="DP140" s="99"/>
      <c r="DQ140" s="99"/>
      <c r="DR140" s="99"/>
      <c r="DS140" s="99"/>
      <c r="DT140" s="99"/>
      <c r="DU140" s="99"/>
      <c r="DV140" s="99"/>
      <c r="DW140" s="99"/>
      <c r="DX140" s="99"/>
      <c r="DY140" s="99"/>
      <c r="DZ140" s="99"/>
      <c r="EA140" s="99"/>
      <c r="EB140" s="99"/>
      <c r="EC140" s="99"/>
      <c r="ED140" s="99"/>
      <c r="EE140" s="99"/>
      <c r="EF140" s="99"/>
      <c r="EG140" s="99"/>
      <c r="EH140" s="99"/>
      <c r="EI140" s="99"/>
      <c r="EJ140" s="99"/>
      <c r="EK140" s="99"/>
      <c r="EL140" s="99"/>
      <c r="EM140" s="99"/>
      <c r="EN140" s="99"/>
      <c r="EO140" s="99"/>
      <c r="EP140" s="99"/>
      <c r="EQ140" s="99"/>
      <c r="ER140" s="99"/>
      <c r="ES140" s="99"/>
      <c r="ET140" s="99"/>
      <c r="EU140" s="99"/>
      <c r="EV140" s="99"/>
      <c r="EW140" s="99"/>
      <c r="EX140" s="99"/>
      <c r="EY140" s="99"/>
      <c r="EZ140" s="99"/>
      <c r="FA140" s="99"/>
      <c r="FB140" s="99"/>
      <c r="FC140" s="99"/>
      <c r="FD140" s="99"/>
      <c r="FE140" s="99"/>
      <c r="FF140" s="99"/>
      <c r="FG140" s="99"/>
      <c r="FH140" s="99"/>
      <c r="FI140" s="99"/>
      <c r="FJ140" s="99"/>
      <c r="FK140" s="99"/>
      <c r="FL140" s="99"/>
      <c r="FM140" s="99"/>
      <c r="FN140" s="99"/>
      <c r="FO140" s="99"/>
      <c r="FP140" s="99"/>
      <c r="FQ140" s="99"/>
      <c r="FR140" s="99"/>
      <c r="FS140" s="99"/>
      <c r="FT140" s="99"/>
      <c r="FU140" s="99"/>
      <c r="FV140" s="99"/>
      <c r="FW140" s="99"/>
      <c r="FX140" s="99"/>
      <c r="FY140" s="99"/>
      <c r="FZ140" s="99"/>
      <c r="GA140" s="99"/>
      <c r="GB140" s="99"/>
      <c r="GC140" s="99"/>
      <c r="GD140" s="99"/>
      <c r="GE140" s="99"/>
      <c r="GF140" s="99"/>
      <c r="GG140" s="99"/>
      <c r="GH140" s="99"/>
      <c r="GI140" s="99"/>
      <c r="GJ140" s="99"/>
      <c r="GK140" s="99"/>
      <c r="GL140" s="99"/>
      <c r="GM140" s="99"/>
      <c r="GN140" s="99"/>
      <c r="GO140" s="99"/>
      <c r="GP140" s="99"/>
      <c r="GQ140" s="99"/>
      <c r="GR140" s="99"/>
      <c r="GS140" s="99"/>
      <c r="GT140" s="99"/>
      <c r="GU140" s="99"/>
      <c r="GV140" s="99"/>
      <c r="GW140" s="99"/>
      <c r="GX140" s="99"/>
      <c r="GY140" s="99"/>
      <c r="GZ140" s="99"/>
      <c r="HA140" s="99"/>
      <c r="HB140" s="99"/>
      <c r="HC140" s="99"/>
      <c r="HD140" s="99"/>
      <c r="HE140" s="99"/>
      <c r="HF140" s="99"/>
      <c r="HG140" s="99"/>
      <c r="HH140" s="99"/>
      <c r="HI140" s="99"/>
      <c r="HJ140" s="99"/>
      <c r="HK140" s="99"/>
      <c r="HL140" s="99"/>
      <c r="HM140" s="99"/>
      <c r="HN140" s="99"/>
      <c r="HO140" s="99"/>
      <c r="HP140" s="99"/>
      <c r="HQ140" s="99"/>
      <c r="HR140" s="99"/>
      <c r="HS140" s="99"/>
      <c r="HT140" s="99"/>
      <c r="HU140" s="99"/>
      <c r="HV140" s="99"/>
      <c r="HW140" s="99"/>
      <c r="HX140" s="99"/>
      <c r="HY140" s="99"/>
      <c r="HZ140" s="99"/>
      <c r="IA140" s="99"/>
      <c r="IB140" s="99"/>
      <c r="IC140" s="99"/>
      <c r="ID140" s="99"/>
      <c r="IE140" s="99"/>
      <c r="IF140" s="99"/>
      <c r="IG140" s="99"/>
      <c r="IH140" s="99"/>
      <c r="II140" s="99"/>
      <c r="IJ140" s="99"/>
      <c r="IT140" s="112"/>
    </row>
    <row r="141" spans="1:254" s="1" customFormat="1" ht="47.25">
      <c r="A141" s="115"/>
      <c r="B141" s="207" t="s">
        <v>217</v>
      </c>
      <c r="C141" s="216" t="s">
        <v>376</v>
      </c>
      <c r="D141" s="137" t="s">
        <v>165</v>
      </c>
      <c r="E141" s="230" t="s">
        <v>301</v>
      </c>
      <c r="F141" s="165"/>
      <c r="G141" s="137" t="s">
        <v>557</v>
      </c>
      <c r="H141" s="230" t="s">
        <v>301</v>
      </c>
      <c r="I141" s="137" t="s">
        <v>557</v>
      </c>
      <c r="J141" s="230" t="s">
        <v>301</v>
      </c>
      <c r="K141" s="252"/>
      <c r="L141" s="230"/>
      <c r="M141" s="252"/>
      <c r="N141" s="230"/>
      <c r="O141" s="182">
        <f>143*1.6/1000</f>
        <v>0.2288</v>
      </c>
      <c r="P141" s="183">
        <v>28</v>
      </c>
      <c r="Q141" s="144">
        <f>1.4*28/1000</f>
        <v>3.9199999999999999E-2</v>
      </c>
      <c r="R141" s="99">
        <f>143-P141</f>
        <v>115</v>
      </c>
      <c r="S141" s="144">
        <f>0.229-Q141</f>
        <v>0.18980000000000002</v>
      </c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  <c r="AY141" s="99"/>
      <c r="AZ141" s="99"/>
      <c r="BA141" s="99"/>
      <c r="BB141" s="99"/>
      <c r="BC141" s="99"/>
      <c r="BD141" s="99"/>
      <c r="BE141" s="99"/>
      <c r="BF141" s="99"/>
      <c r="BG141" s="99"/>
      <c r="BH141" s="99"/>
      <c r="BI141" s="99"/>
      <c r="BJ141" s="99"/>
      <c r="BK141" s="99"/>
      <c r="BL141" s="99"/>
      <c r="BM141" s="99"/>
      <c r="BN141" s="99"/>
      <c r="BO141" s="99"/>
      <c r="BP141" s="99"/>
      <c r="BQ141" s="99"/>
      <c r="BR141" s="99"/>
      <c r="BS141" s="99"/>
      <c r="BT141" s="99"/>
      <c r="BU141" s="99"/>
      <c r="BV141" s="99"/>
      <c r="BW141" s="99"/>
      <c r="BX141" s="99"/>
      <c r="BY141" s="99"/>
      <c r="BZ141" s="99"/>
      <c r="CA141" s="99"/>
      <c r="CB141" s="99"/>
      <c r="CC141" s="99"/>
      <c r="CD141" s="99"/>
      <c r="CE141" s="99"/>
      <c r="CF141" s="99"/>
      <c r="CG141" s="99"/>
      <c r="CH141" s="99"/>
      <c r="CI141" s="99"/>
      <c r="CJ141" s="99"/>
      <c r="CK141" s="99"/>
      <c r="CL141" s="99"/>
      <c r="CM141" s="99"/>
      <c r="CN141" s="99"/>
      <c r="CO141" s="99"/>
      <c r="CP141" s="99"/>
      <c r="CQ141" s="99"/>
      <c r="CR141" s="99"/>
      <c r="CS141" s="99"/>
      <c r="CT141" s="99"/>
      <c r="CU141" s="99"/>
      <c r="CV141" s="99"/>
      <c r="CW141" s="99"/>
      <c r="CX141" s="99"/>
      <c r="CY141" s="99"/>
      <c r="CZ141" s="99"/>
      <c r="DA141" s="99"/>
      <c r="DB141" s="99"/>
      <c r="DC141" s="99"/>
      <c r="DD141" s="99"/>
      <c r="DE141" s="99"/>
      <c r="DF141" s="99"/>
      <c r="DG141" s="99"/>
      <c r="DH141" s="99"/>
      <c r="DI141" s="99"/>
      <c r="DJ141" s="99"/>
      <c r="DK141" s="99"/>
      <c r="DL141" s="99"/>
      <c r="DM141" s="99"/>
      <c r="DN141" s="99"/>
      <c r="DO141" s="99"/>
      <c r="DP141" s="99"/>
      <c r="DQ141" s="99"/>
      <c r="DR141" s="99"/>
      <c r="DS141" s="99"/>
      <c r="DT141" s="99"/>
      <c r="DU141" s="99"/>
      <c r="DV141" s="99"/>
      <c r="DW141" s="99"/>
      <c r="DX141" s="99"/>
      <c r="DY141" s="99"/>
      <c r="DZ141" s="99"/>
      <c r="EA141" s="99"/>
      <c r="EB141" s="99"/>
      <c r="EC141" s="99"/>
      <c r="ED141" s="99"/>
      <c r="EE141" s="99"/>
      <c r="EF141" s="99"/>
      <c r="EG141" s="99"/>
      <c r="EH141" s="99"/>
      <c r="EI141" s="99"/>
      <c r="EJ141" s="99"/>
      <c r="EK141" s="99"/>
      <c r="EL141" s="99"/>
      <c r="EM141" s="99"/>
      <c r="EN141" s="99"/>
      <c r="EO141" s="99"/>
      <c r="EP141" s="99"/>
      <c r="EQ141" s="99"/>
      <c r="ER141" s="99"/>
      <c r="ES141" s="99"/>
      <c r="ET141" s="99"/>
      <c r="EU141" s="99"/>
      <c r="EV141" s="99"/>
      <c r="EW141" s="99"/>
      <c r="EX141" s="99"/>
      <c r="EY141" s="99"/>
      <c r="EZ141" s="99"/>
      <c r="FA141" s="99"/>
      <c r="FB141" s="99"/>
      <c r="FC141" s="99"/>
      <c r="FD141" s="99"/>
      <c r="FE141" s="99"/>
      <c r="FF141" s="99"/>
      <c r="FG141" s="99"/>
      <c r="FH141" s="99"/>
      <c r="FI141" s="99"/>
      <c r="FJ141" s="99"/>
      <c r="FK141" s="99"/>
      <c r="FL141" s="99"/>
      <c r="FM141" s="99"/>
      <c r="FN141" s="99"/>
      <c r="FO141" s="99"/>
      <c r="FP141" s="99"/>
      <c r="FQ141" s="99"/>
      <c r="FR141" s="99"/>
      <c r="FS141" s="99"/>
      <c r="FT141" s="99"/>
      <c r="FU141" s="99"/>
      <c r="FV141" s="99"/>
      <c r="FW141" s="99"/>
      <c r="FX141" s="99"/>
      <c r="FY141" s="99"/>
      <c r="FZ141" s="99"/>
      <c r="GA141" s="99"/>
      <c r="GB141" s="99"/>
      <c r="GC141" s="99"/>
      <c r="GD141" s="99"/>
      <c r="GE141" s="99"/>
      <c r="GF141" s="99"/>
      <c r="GG141" s="99"/>
      <c r="GH141" s="99"/>
      <c r="GI141" s="99"/>
      <c r="GJ141" s="99"/>
      <c r="GK141" s="99"/>
      <c r="GL141" s="99"/>
      <c r="GM141" s="99"/>
      <c r="GN141" s="99"/>
      <c r="GO141" s="99"/>
      <c r="GP141" s="99"/>
      <c r="GQ141" s="99"/>
      <c r="GR141" s="99"/>
      <c r="GS141" s="99"/>
      <c r="GT141" s="99"/>
      <c r="GU141" s="99"/>
      <c r="GV141" s="99"/>
      <c r="GW141" s="99"/>
      <c r="GX141" s="99"/>
      <c r="GY141" s="99"/>
      <c r="GZ141" s="99"/>
      <c r="HA141" s="99"/>
      <c r="HB141" s="99"/>
      <c r="HC141" s="99"/>
      <c r="HD141" s="99"/>
      <c r="HE141" s="99"/>
      <c r="HF141" s="99"/>
      <c r="HG141" s="99"/>
      <c r="HH141" s="99"/>
      <c r="HI141" s="99"/>
      <c r="HJ141" s="99"/>
      <c r="HK141" s="99"/>
      <c r="HL141" s="99"/>
      <c r="HM141" s="99"/>
      <c r="HN141" s="99"/>
      <c r="HO141" s="99"/>
      <c r="HP141" s="99"/>
      <c r="HQ141" s="99"/>
      <c r="HR141" s="99"/>
      <c r="HS141" s="99"/>
      <c r="HT141" s="99"/>
      <c r="HU141" s="99"/>
      <c r="HV141" s="99"/>
      <c r="HW141" s="99"/>
      <c r="HX141" s="99"/>
      <c r="HY141" s="99"/>
      <c r="HZ141" s="99"/>
      <c r="IA141" s="99"/>
      <c r="IB141" s="99"/>
      <c r="IC141" s="99"/>
      <c r="ID141" s="99"/>
      <c r="IE141" s="99"/>
      <c r="IF141" s="99"/>
      <c r="IG141" s="99"/>
      <c r="IH141" s="99"/>
      <c r="II141" s="99"/>
      <c r="IJ141" s="99"/>
      <c r="IT141" s="116"/>
    </row>
    <row r="142" spans="1:254" s="1" customFormat="1" ht="104.1" customHeight="1" thickBot="1">
      <c r="A142" s="463" t="s">
        <v>510</v>
      </c>
      <c r="B142" s="467"/>
      <c r="C142" s="490"/>
      <c r="D142" s="469"/>
      <c r="E142" s="473"/>
      <c r="F142" s="491"/>
      <c r="G142" s="469"/>
      <c r="H142" s="473"/>
      <c r="I142" s="469"/>
      <c r="J142" s="473"/>
      <c r="K142" s="474"/>
      <c r="L142" s="473"/>
      <c r="M142" s="474"/>
      <c r="N142" s="475"/>
      <c r="O142" s="182"/>
      <c r="P142" s="183"/>
      <c r="Q142" s="144"/>
      <c r="R142" s="99"/>
      <c r="S142" s="144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  <c r="AY142" s="99"/>
      <c r="AZ142" s="99"/>
      <c r="BA142" s="99"/>
      <c r="BB142" s="99"/>
      <c r="BC142" s="99"/>
      <c r="BD142" s="99"/>
      <c r="BE142" s="99"/>
      <c r="BF142" s="99"/>
      <c r="BG142" s="99"/>
      <c r="BH142" s="99"/>
      <c r="BI142" s="99"/>
      <c r="BJ142" s="99"/>
      <c r="BK142" s="99"/>
      <c r="BL142" s="99"/>
      <c r="BM142" s="99"/>
      <c r="BN142" s="99"/>
      <c r="BO142" s="99"/>
      <c r="BP142" s="99"/>
      <c r="BQ142" s="99"/>
      <c r="BR142" s="99"/>
      <c r="BS142" s="99"/>
      <c r="BT142" s="99"/>
      <c r="BU142" s="99"/>
      <c r="BV142" s="99"/>
      <c r="BW142" s="99"/>
      <c r="BX142" s="99"/>
      <c r="BY142" s="99"/>
      <c r="BZ142" s="99"/>
      <c r="CA142" s="99"/>
      <c r="CB142" s="99"/>
      <c r="CC142" s="99"/>
      <c r="CD142" s="99"/>
      <c r="CE142" s="99"/>
      <c r="CF142" s="99"/>
      <c r="CG142" s="99"/>
      <c r="CH142" s="99"/>
      <c r="CI142" s="99"/>
      <c r="CJ142" s="99"/>
      <c r="CK142" s="99"/>
      <c r="CL142" s="99"/>
      <c r="CM142" s="99"/>
      <c r="CN142" s="99"/>
      <c r="CO142" s="99"/>
      <c r="CP142" s="99"/>
      <c r="CQ142" s="99"/>
      <c r="CR142" s="99"/>
      <c r="CS142" s="99"/>
      <c r="CT142" s="99"/>
      <c r="CU142" s="99"/>
      <c r="CV142" s="99"/>
      <c r="CW142" s="99"/>
      <c r="CX142" s="99"/>
      <c r="CY142" s="99"/>
      <c r="CZ142" s="99"/>
      <c r="DA142" s="99"/>
      <c r="DB142" s="99"/>
      <c r="DC142" s="99"/>
      <c r="DD142" s="99"/>
      <c r="DE142" s="99"/>
      <c r="DF142" s="99"/>
      <c r="DG142" s="99"/>
      <c r="DH142" s="99"/>
      <c r="DI142" s="99"/>
      <c r="DJ142" s="99"/>
      <c r="DK142" s="99"/>
      <c r="DL142" s="99"/>
      <c r="DM142" s="99"/>
      <c r="DN142" s="99"/>
      <c r="DO142" s="99"/>
      <c r="DP142" s="99"/>
      <c r="DQ142" s="99"/>
      <c r="DR142" s="99"/>
      <c r="DS142" s="99"/>
      <c r="DT142" s="99"/>
      <c r="DU142" s="99"/>
      <c r="DV142" s="99"/>
      <c r="DW142" s="99"/>
      <c r="DX142" s="99"/>
      <c r="DY142" s="99"/>
      <c r="DZ142" s="99"/>
      <c r="EA142" s="99"/>
      <c r="EB142" s="99"/>
      <c r="EC142" s="99"/>
      <c r="ED142" s="99"/>
      <c r="EE142" s="99"/>
      <c r="EF142" s="99"/>
      <c r="EG142" s="99"/>
      <c r="EH142" s="99"/>
      <c r="EI142" s="99"/>
      <c r="EJ142" s="99"/>
      <c r="EK142" s="99"/>
      <c r="EL142" s="99"/>
      <c r="EM142" s="99"/>
      <c r="EN142" s="99"/>
      <c r="EO142" s="99"/>
      <c r="EP142" s="99"/>
      <c r="EQ142" s="99"/>
      <c r="ER142" s="99"/>
      <c r="ES142" s="99"/>
      <c r="ET142" s="99"/>
      <c r="EU142" s="99"/>
      <c r="EV142" s="99"/>
      <c r="EW142" s="99"/>
      <c r="EX142" s="99"/>
      <c r="EY142" s="99"/>
      <c r="EZ142" s="99"/>
      <c r="FA142" s="99"/>
      <c r="FB142" s="99"/>
      <c r="FC142" s="99"/>
      <c r="FD142" s="99"/>
      <c r="FE142" s="99"/>
      <c r="FF142" s="99"/>
      <c r="FG142" s="99"/>
      <c r="FH142" s="99"/>
      <c r="FI142" s="99"/>
      <c r="FJ142" s="99"/>
      <c r="FK142" s="99"/>
      <c r="FL142" s="99"/>
      <c r="FM142" s="99"/>
      <c r="FN142" s="99"/>
      <c r="FO142" s="99"/>
      <c r="FP142" s="99"/>
      <c r="FQ142" s="99"/>
      <c r="FR142" s="99"/>
      <c r="FS142" s="99"/>
      <c r="FT142" s="99"/>
      <c r="FU142" s="99"/>
      <c r="FV142" s="99"/>
      <c r="FW142" s="99"/>
      <c r="FX142" s="99"/>
      <c r="FY142" s="99"/>
      <c r="FZ142" s="99"/>
      <c r="GA142" s="99"/>
      <c r="GB142" s="99"/>
      <c r="GC142" s="99"/>
      <c r="GD142" s="99"/>
      <c r="GE142" s="99"/>
      <c r="GF142" s="99"/>
      <c r="GG142" s="99"/>
      <c r="GH142" s="99"/>
      <c r="GI142" s="99"/>
      <c r="GJ142" s="99"/>
      <c r="GK142" s="99"/>
      <c r="GL142" s="99"/>
      <c r="GM142" s="99"/>
      <c r="GN142" s="99"/>
      <c r="GO142" s="99"/>
      <c r="GP142" s="99"/>
      <c r="GQ142" s="99"/>
      <c r="GR142" s="99"/>
      <c r="GS142" s="99"/>
      <c r="GT142" s="99"/>
      <c r="GU142" s="99"/>
      <c r="GV142" s="99"/>
      <c r="GW142" s="99"/>
      <c r="GX142" s="99"/>
      <c r="GY142" s="99"/>
      <c r="GZ142" s="99"/>
      <c r="HA142" s="99"/>
      <c r="HB142" s="99"/>
      <c r="HC142" s="99"/>
      <c r="HD142" s="99"/>
      <c r="HE142" s="99"/>
      <c r="HF142" s="99"/>
      <c r="HG142" s="99"/>
      <c r="HH142" s="99"/>
      <c r="HI142" s="99"/>
      <c r="HJ142" s="99"/>
      <c r="HK142" s="99"/>
      <c r="HL142" s="99"/>
      <c r="HM142" s="99"/>
      <c r="HN142" s="99"/>
      <c r="HO142" s="99"/>
      <c r="HP142" s="99"/>
      <c r="HQ142" s="99"/>
      <c r="HR142" s="99"/>
      <c r="HS142" s="99"/>
      <c r="HT142" s="99"/>
      <c r="HU142" s="99"/>
      <c r="HV142" s="99"/>
      <c r="HW142" s="99"/>
      <c r="HX142" s="99"/>
      <c r="HY142" s="99"/>
      <c r="HZ142" s="99"/>
      <c r="IA142" s="99"/>
      <c r="IB142" s="99"/>
      <c r="IC142" s="99"/>
      <c r="ID142" s="99"/>
      <c r="IE142" s="99"/>
      <c r="IF142" s="99"/>
      <c r="IG142" s="99"/>
      <c r="IH142" s="99"/>
      <c r="II142" s="99"/>
      <c r="IJ142" s="99"/>
      <c r="IT142" s="116"/>
    </row>
    <row r="143" spans="1:254" s="1" customFormat="1" ht="30" customHeight="1" thickBot="1">
      <c r="A143" s="463" t="s">
        <v>510</v>
      </c>
      <c r="B143" s="479"/>
      <c r="C143" s="492"/>
      <c r="D143" s="476"/>
      <c r="E143" s="477"/>
      <c r="F143" s="493"/>
      <c r="G143" s="476"/>
      <c r="H143" s="477"/>
      <c r="I143" s="476"/>
      <c r="J143" s="477"/>
      <c r="K143" s="478"/>
      <c r="L143" s="477"/>
      <c r="M143" s="478"/>
      <c r="N143" s="477"/>
      <c r="O143" s="182"/>
      <c r="P143" s="183"/>
      <c r="Q143" s="144"/>
      <c r="R143" s="99"/>
      <c r="S143" s="144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  <c r="AY143" s="99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  <c r="BP143" s="99"/>
      <c r="BQ143" s="99"/>
      <c r="BR143" s="99"/>
      <c r="BS143" s="99"/>
      <c r="BT143" s="99"/>
      <c r="BU143" s="99"/>
      <c r="BV143" s="99"/>
      <c r="BW143" s="99"/>
      <c r="BX143" s="99"/>
      <c r="BY143" s="99"/>
      <c r="BZ143" s="99"/>
      <c r="CA143" s="99"/>
      <c r="CB143" s="99"/>
      <c r="CC143" s="99"/>
      <c r="CD143" s="99"/>
      <c r="CE143" s="99"/>
      <c r="CF143" s="99"/>
      <c r="CG143" s="99"/>
      <c r="CH143" s="99"/>
      <c r="CI143" s="99"/>
      <c r="CJ143" s="99"/>
      <c r="CK143" s="99"/>
      <c r="CL143" s="99"/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C143" s="99"/>
      <c r="DD143" s="99"/>
      <c r="DE143" s="99"/>
      <c r="DF143" s="99"/>
      <c r="DG143" s="99"/>
      <c r="DH143" s="99"/>
      <c r="DI143" s="99"/>
      <c r="DJ143" s="99"/>
      <c r="DK143" s="99"/>
      <c r="DL143" s="99"/>
      <c r="DM143" s="99"/>
      <c r="DN143" s="99"/>
      <c r="DO143" s="99"/>
      <c r="DP143" s="99"/>
      <c r="DQ143" s="99"/>
      <c r="DR143" s="99"/>
      <c r="DS143" s="99"/>
      <c r="DT143" s="99"/>
      <c r="DU143" s="99"/>
      <c r="DV143" s="99"/>
      <c r="DW143" s="99"/>
      <c r="DX143" s="99"/>
      <c r="DY143" s="99"/>
      <c r="DZ143" s="99"/>
      <c r="EA143" s="99"/>
      <c r="EB143" s="99"/>
      <c r="EC143" s="99"/>
      <c r="ED143" s="99"/>
      <c r="EE143" s="99"/>
      <c r="EF143" s="99"/>
      <c r="EG143" s="99"/>
      <c r="EH143" s="99"/>
      <c r="EI143" s="99"/>
      <c r="EJ143" s="99"/>
      <c r="EK143" s="99"/>
      <c r="EL143" s="99"/>
      <c r="EM143" s="99"/>
      <c r="EN143" s="99"/>
      <c r="EO143" s="99"/>
      <c r="EP143" s="99"/>
      <c r="EQ143" s="99"/>
      <c r="ER143" s="99"/>
      <c r="ES143" s="99"/>
      <c r="ET143" s="99"/>
      <c r="EU143" s="99"/>
      <c r="EV143" s="99"/>
      <c r="EW143" s="99"/>
      <c r="EX143" s="99"/>
      <c r="EY143" s="99"/>
      <c r="EZ143" s="99"/>
      <c r="FA143" s="99"/>
      <c r="FB143" s="99"/>
      <c r="FC143" s="99"/>
      <c r="FD143" s="99"/>
      <c r="FE143" s="99"/>
      <c r="FF143" s="99"/>
      <c r="FG143" s="99"/>
      <c r="FH143" s="99"/>
      <c r="FI143" s="99"/>
      <c r="FJ143" s="99"/>
      <c r="FK143" s="99"/>
      <c r="FL143" s="99"/>
      <c r="FM143" s="99"/>
      <c r="FN143" s="99"/>
      <c r="FO143" s="99"/>
      <c r="FP143" s="99"/>
      <c r="FQ143" s="99"/>
      <c r="FR143" s="99"/>
      <c r="FS143" s="99"/>
      <c r="FT143" s="99"/>
      <c r="FU143" s="99"/>
      <c r="FV143" s="99"/>
      <c r="FW143" s="99"/>
      <c r="FX143" s="99"/>
      <c r="FY143" s="99"/>
      <c r="FZ143" s="99"/>
      <c r="GA143" s="99"/>
      <c r="GB143" s="99"/>
      <c r="GC143" s="99"/>
      <c r="GD143" s="99"/>
      <c r="GE143" s="99"/>
      <c r="GF143" s="99"/>
      <c r="GG143" s="99"/>
      <c r="GH143" s="99"/>
      <c r="GI143" s="99"/>
      <c r="GJ143" s="99"/>
      <c r="GK143" s="99"/>
      <c r="GL143" s="99"/>
      <c r="GM143" s="99"/>
      <c r="GN143" s="99"/>
      <c r="GO143" s="99"/>
      <c r="GP143" s="99"/>
      <c r="GQ143" s="99"/>
      <c r="GR143" s="99"/>
      <c r="GS143" s="99"/>
      <c r="GT143" s="99"/>
      <c r="GU143" s="99"/>
      <c r="GV143" s="99"/>
      <c r="GW143" s="99"/>
      <c r="GX143" s="99"/>
      <c r="GY143" s="99"/>
      <c r="GZ143" s="99"/>
      <c r="HA143" s="99"/>
      <c r="HB143" s="99"/>
      <c r="HC143" s="99"/>
      <c r="HD143" s="99"/>
      <c r="HE143" s="99"/>
      <c r="HF143" s="99"/>
      <c r="HG143" s="99"/>
      <c r="HH143" s="99"/>
      <c r="HI143" s="99"/>
      <c r="HJ143" s="99"/>
      <c r="HK143" s="99"/>
      <c r="HL143" s="99"/>
      <c r="HM143" s="99"/>
      <c r="HN143" s="99"/>
      <c r="HO143" s="99"/>
      <c r="HP143" s="99"/>
      <c r="HQ143" s="99"/>
      <c r="HR143" s="99"/>
      <c r="HS143" s="99"/>
      <c r="HT143" s="99"/>
      <c r="HU143" s="99"/>
      <c r="HV143" s="99"/>
      <c r="HW143" s="99"/>
      <c r="HX143" s="99"/>
      <c r="HY143" s="99"/>
      <c r="HZ143" s="99"/>
      <c r="IA143" s="99"/>
      <c r="IB143" s="99"/>
      <c r="IC143" s="99"/>
      <c r="ID143" s="99"/>
      <c r="IE143" s="99"/>
      <c r="IF143" s="99"/>
      <c r="IG143" s="99"/>
      <c r="IH143" s="99"/>
      <c r="II143" s="99"/>
      <c r="IJ143" s="99"/>
      <c r="IT143" s="116"/>
    </row>
    <row r="144" spans="1:254" ht="36" customHeight="1" thickBot="1">
      <c r="A144" s="463" t="s">
        <v>510</v>
      </c>
      <c r="B144" s="642" t="s">
        <v>35</v>
      </c>
      <c r="C144" s="642" t="s">
        <v>36</v>
      </c>
      <c r="D144" s="642" t="s">
        <v>37</v>
      </c>
      <c r="E144" s="642" t="s">
        <v>92</v>
      </c>
      <c r="F144" s="642" t="s">
        <v>18</v>
      </c>
      <c r="G144" s="645" t="s">
        <v>100</v>
      </c>
      <c r="H144" s="646"/>
      <c r="I144" s="646"/>
      <c r="J144" s="646"/>
      <c r="K144" s="646"/>
      <c r="L144" s="646"/>
      <c r="M144" s="646"/>
      <c r="N144" s="647"/>
      <c r="O144" s="134"/>
      <c r="P144" s="134"/>
      <c r="Q144" s="134"/>
      <c r="R144" s="134"/>
    </row>
    <row r="145" spans="1:254" ht="15.75" customHeight="1" thickBot="1">
      <c r="A145" s="463" t="s">
        <v>510</v>
      </c>
      <c r="B145" s="643"/>
      <c r="C145" s="643"/>
      <c r="D145" s="643"/>
      <c r="E145" s="643"/>
      <c r="F145" s="643"/>
      <c r="G145" s="645" t="s">
        <v>553</v>
      </c>
      <c r="H145" s="648"/>
      <c r="I145" s="645" t="s">
        <v>575</v>
      </c>
      <c r="J145" s="648"/>
      <c r="K145" s="645" t="s">
        <v>554</v>
      </c>
      <c r="L145" s="648"/>
      <c r="M145" s="645" t="s">
        <v>554</v>
      </c>
      <c r="N145" s="648"/>
      <c r="O145" s="134"/>
      <c r="P145" s="134"/>
      <c r="Q145" s="134"/>
      <c r="R145" s="134"/>
    </row>
    <row r="146" spans="1:254" ht="16.5" thickBot="1">
      <c r="A146" s="463" t="s">
        <v>510</v>
      </c>
      <c r="B146" s="644"/>
      <c r="C146" s="644"/>
      <c r="D146" s="644"/>
      <c r="E146" s="644"/>
      <c r="F146" s="644"/>
      <c r="G146" s="118" t="s">
        <v>38</v>
      </c>
      <c r="H146" s="118" t="s">
        <v>39</v>
      </c>
      <c r="I146" s="118" t="s">
        <v>38</v>
      </c>
      <c r="J146" s="118" t="s">
        <v>39</v>
      </c>
      <c r="K146" s="118" t="s">
        <v>38</v>
      </c>
      <c r="L146" s="118" t="s">
        <v>39</v>
      </c>
      <c r="M146" s="118" t="s">
        <v>38</v>
      </c>
      <c r="N146" s="118" t="s">
        <v>39</v>
      </c>
      <c r="O146" s="134"/>
      <c r="P146" s="134"/>
      <c r="Q146" s="134"/>
      <c r="R146" s="134"/>
    </row>
    <row r="147" spans="1:254">
      <c r="A147" s="463" t="s">
        <v>510</v>
      </c>
      <c r="B147" s="119" t="s">
        <v>115</v>
      </c>
      <c r="C147" s="120" t="s">
        <v>116</v>
      </c>
      <c r="D147" s="120" t="s">
        <v>117</v>
      </c>
      <c r="E147" s="120" t="s">
        <v>118</v>
      </c>
      <c r="F147" s="119" t="s">
        <v>119</v>
      </c>
      <c r="G147" s="121" t="s">
        <v>120</v>
      </c>
      <c r="H147" s="121" t="s">
        <v>121</v>
      </c>
      <c r="I147" s="122">
        <v>8</v>
      </c>
      <c r="J147" s="123">
        <v>9</v>
      </c>
      <c r="K147" s="124">
        <v>10</v>
      </c>
      <c r="L147" s="123">
        <v>11</v>
      </c>
      <c r="M147" s="124">
        <v>12</v>
      </c>
      <c r="N147" s="123">
        <v>13</v>
      </c>
      <c r="O147" s="125"/>
      <c r="P147" s="125"/>
      <c r="Q147" s="125"/>
      <c r="R147" s="125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  <c r="AY147" s="99"/>
      <c r="AZ147" s="99"/>
      <c r="BA147" s="99"/>
      <c r="BB147" s="99"/>
      <c r="BC147" s="99"/>
      <c r="BD147" s="99"/>
      <c r="BE147" s="99"/>
      <c r="BF147" s="99"/>
      <c r="BG147" s="99"/>
      <c r="BH147" s="99"/>
      <c r="BI147" s="99"/>
      <c r="BJ147" s="99"/>
      <c r="BK147" s="99"/>
      <c r="BL147" s="99"/>
      <c r="BM147" s="99"/>
      <c r="BN147" s="99"/>
      <c r="BO147" s="99"/>
      <c r="BP147" s="99"/>
      <c r="BQ147" s="99"/>
      <c r="BR147" s="99"/>
      <c r="BS147" s="99"/>
      <c r="BT147" s="99"/>
      <c r="BU147" s="99"/>
      <c r="BV147" s="99"/>
      <c r="BW147" s="99"/>
      <c r="BX147" s="99"/>
      <c r="BY147" s="99"/>
      <c r="BZ147" s="99"/>
      <c r="CA147" s="99"/>
      <c r="CB147" s="99"/>
      <c r="CC147" s="99"/>
      <c r="CD147" s="99"/>
      <c r="CE147" s="99"/>
      <c r="CF147" s="99"/>
      <c r="CG147" s="99"/>
      <c r="CH147" s="99"/>
      <c r="CI147" s="99"/>
      <c r="CJ147" s="99"/>
      <c r="CK147" s="99"/>
      <c r="CL147" s="99"/>
      <c r="CM147" s="99"/>
      <c r="CN147" s="99"/>
      <c r="CO147" s="99"/>
      <c r="CP147" s="99"/>
      <c r="CQ147" s="99"/>
      <c r="CR147" s="99"/>
      <c r="CS147" s="99"/>
      <c r="CT147" s="99"/>
      <c r="CU147" s="99"/>
      <c r="CV147" s="99"/>
      <c r="CW147" s="99"/>
      <c r="CX147" s="99"/>
      <c r="CY147" s="99"/>
      <c r="CZ147" s="99"/>
      <c r="DA147" s="99"/>
      <c r="DB147" s="99"/>
      <c r="DC147" s="99"/>
      <c r="DD147" s="99"/>
      <c r="DE147" s="99"/>
      <c r="DF147" s="99"/>
      <c r="DG147" s="99"/>
      <c r="DH147" s="99"/>
      <c r="DI147" s="99"/>
      <c r="DJ147" s="99"/>
      <c r="DK147" s="99"/>
      <c r="DL147" s="99"/>
      <c r="DM147" s="99"/>
      <c r="DN147" s="99"/>
      <c r="DO147" s="99"/>
      <c r="DP147" s="99"/>
      <c r="DQ147" s="99"/>
      <c r="DR147" s="99"/>
      <c r="DS147" s="99"/>
      <c r="DT147" s="99"/>
      <c r="DU147" s="99"/>
      <c r="DV147" s="99"/>
      <c r="DW147" s="99"/>
      <c r="DX147" s="99"/>
      <c r="DY147" s="99"/>
      <c r="DZ147" s="99"/>
      <c r="EA147" s="99"/>
      <c r="EB147" s="99"/>
      <c r="EC147" s="99"/>
      <c r="ED147" s="99"/>
      <c r="EE147" s="99"/>
      <c r="EF147" s="99"/>
      <c r="EG147" s="99"/>
      <c r="EH147" s="99"/>
      <c r="EI147" s="99"/>
      <c r="EJ147" s="99"/>
      <c r="EK147" s="99"/>
      <c r="EL147" s="99"/>
      <c r="EM147" s="99"/>
      <c r="EN147" s="99"/>
      <c r="EO147" s="99"/>
      <c r="EP147" s="99"/>
      <c r="EQ147" s="99"/>
      <c r="ER147" s="99"/>
      <c r="ES147" s="99"/>
      <c r="ET147" s="99"/>
      <c r="EU147" s="99"/>
      <c r="EV147" s="99"/>
      <c r="EW147" s="99"/>
      <c r="EX147" s="99"/>
      <c r="EY147" s="99"/>
      <c r="EZ147" s="99"/>
      <c r="FA147" s="99"/>
      <c r="FB147" s="99"/>
      <c r="FC147" s="99"/>
      <c r="FD147" s="99"/>
      <c r="FE147" s="99"/>
      <c r="FF147" s="99"/>
      <c r="FG147" s="99"/>
      <c r="FH147" s="99"/>
      <c r="FI147" s="99"/>
      <c r="FJ147" s="99"/>
      <c r="FK147" s="99"/>
      <c r="FL147" s="99"/>
      <c r="FM147" s="99"/>
      <c r="FN147" s="99"/>
      <c r="FO147" s="99"/>
      <c r="FP147" s="99"/>
      <c r="FQ147" s="99"/>
      <c r="FR147" s="99"/>
      <c r="FS147" s="99"/>
      <c r="FT147" s="99"/>
      <c r="FU147" s="99"/>
      <c r="FV147" s="99"/>
      <c r="FW147" s="99"/>
      <c r="FX147" s="99"/>
      <c r="FY147" s="99"/>
      <c r="FZ147" s="99"/>
      <c r="GA147" s="99"/>
      <c r="GB147" s="99"/>
      <c r="GC147" s="99"/>
      <c r="GD147" s="99"/>
      <c r="GE147" s="99"/>
      <c r="GF147" s="99"/>
      <c r="GG147" s="99"/>
      <c r="GH147" s="99"/>
      <c r="GI147" s="99"/>
      <c r="GJ147" s="99"/>
      <c r="GK147" s="99"/>
      <c r="GL147" s="99"/>
      <c r="GM147" s="99"/>
      <c r="GN147" s="99"/>
      <c r="GO147" s="99"/>
      <c r="GP147" s="99"/>
      <c r="GQ147" s="99"/>
      <c r="GR147" s="99"/>
      <c r="GS147" s="99"/>
      <c r="GT147" s="99"/>
      <c r="GU147" s="99"/>
      <c r="GV147" s="99"/>
      <c r="GW147" s="99"/>
      <c r="GX147" s="99"/>
      <c r="GY147" s="99"/>
      <c r="GZ147" s="99"/>
      <c r="HA147" s="99"/>
      <c r="HB147" s="99"/>
      <c r="HC147" s="99"/>
      <c r="HD147" s="99"/>
      <c r="HE147" s="99"/>
      <c r="HF147" s="99"/>
      <c r="HG147" s="99"/>
      <c r="HH147" s="99"/>
      <c r="HI147" s="99"/>
      <c r="HJ147" s="99"/>
      <c r="HK147" s="99"/>
      <c r="HL147" s="99"/>
      <c r="HM147" s="99"/>
      <c r="HN147" s="99"/>
      <c r="HO147" s="99"/>
      <c r="HP147" s="99"/>
      <c r="HQ147" s="99"/>
      <c r="HR147" s="99"/>
      <c r="HS147" s="99"/>
      <c r="HT147" s="99"/>
      <c r="HU147" s="99"/>
      <c r="HV147" s="99"/>
      <c r="HW147" s="99"/>
      <c r="HX147" s="99"/>
      <c r="HY147" s="99"/>
      <c r="HZ147" s="99"/>
      <c r="IA147" s="99"/>
      <c r="IB147" s="99"/>
      <c r="IC147" s="99"/>
      <c r="ID147" s="99"/>
      <c r="IE147" s="99"/>
      <c r="IF147" s="99"/>
      <c r="IG147" s="99"/>
      <c r="IH147" s="99"/>
      <c r="II147" s="99"/>
      <c r="IJ147" s="99"/>
    </row>
    <row r="148" spans="1:254" s="1" customFormat="1" ht="100.5" customHeight="1">
      <c r="A148" s="115"/>
      <c r="B148" s="186" t="s">
        <v>218</v>
      </c>
      <c r="C148" s="306" t="s">
        <v>262</v>
      </c>
      <c r="D148" s="136" t="s">
        <v>563</v>
      </c>
      <c r="E148" s="223">
        <v>0.56299999999999994</v>
      </c>
      <c r="F148" s="160"/>
      <c r="G148" s="159" t="s">
        <v>264</v>
      </c>
      <c r="H148" s="590">
        <v>0.56299999999999994</v>
      </c>
      <c r="I148" s="159" t="s">
        <v>264</v>
      </c>
      <c r="J148" s="590">
        <v>0.56299999999999994</v>
      </c>
      <c r="K148" s="159"/>
      <c r="L148" s="223"/>
      <c r="M148" s="159"/>
      <c r="N148" s="223"/>
      <c r="O148" s="182">
        <f>0.15*0.15*143</f>
        <v>3.2174999999999998</v>
      </c>
      <c r="P148" s="144">
        <f>0.15*0.15*25</f>
        <v>0.5625</v>
      </c>
      <c r="Q148" s="144">
        <f>P148-L148</f>
        <v>0.5625</v>
      </c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  <c r="AY148" s="99"/>
      <c r="AZ148" s="99"/>
      <c r="BA148" s="99"/>
      <c r="BB148" s="99"/>
      <c r="BC148" s="99"/>
      <c r="BD148" s="99"/>
      <c r="BE148" s="99"/>
      <c r="BF148" s="99"/>
      <c r="BG148" s="99"/>
      <c r="BH148" s="99"/>
      <c r="BI148" s="99"/>
      <c r="BJ148" s="99"/>
      <c r="BK148" s="99"/>
      <c r="BL148" s="99"/>
      <c r="BM148" s="99"/>
      <c r="BN148" s="99"/>
      <c r="BO148" s="99"/>
      <c r="BP148" s="99"/>
      <c r="BQ148" s="99"/>
      <c r="BR148" s="99"/>
      <c r="BS148" s="99"/>
      <c r="BT148" s="99"/>
      <c r="BU148" s="99"/>
      <c r="BV148" s="99"/>
      <c r="BW148" s="99"/>
      <c r="BX148" s="99"/>
      <c r="BY148" s="99"/>
      <c r="BZ148" s="99"/>
      <c r="CA148" s="99"/>
      <c r="CB148" s="99"/>
      <c r="CC148" s="99"/>
      <c r="CD148" s="99"/>
      <c r="CE148" s="99"/>
      <c r="CF148" s="99"/>
      <c r="CG148" s="99"/>
      <c r="CH148" s="99"/>
      <c r="CI148" s="99"/>
      <c r="CJ148" s="99"/>
      <c r="CK148" s="99"/>
      <c r="CL148" s="99"/>
      <c r="CM148" s="99"/>
      <c r="CN148" s="99"/>
      <c r="CO148" s="99"/>
      <c r="CP148" s="99"/>
      <c r="CQ148" s="99"/>
      <c r="CR148" s="99"/>
      <c r="CS148" s="99"/>
      <c r="CT148" s="99"/>
      <c r="CU148" s="99"/>
      <c r="CV148" s="99"/>
      <c r="CW148" s="99"/>
      <c r="CX148" s="99"/>
      <c r="CY148" s="99"/>
      <c r="CZ148" s="99"/>
      <c r="DA148" s="99"/>
      <c r="DB148" s="99"/>
      <c r="DC148" s="99"/>
      <c r="DD148" s="99"/>
      <c r="DE148" s="99"/>
      <c r="DF148" s="99"/>
      <c r="DG148" s="99"/>
      <c r="DH148" s="99"/>
      <c r="DI148" s="99"/>
      <c r="DJ148" s="99"/>
      <c r="DK148" s="99"/>
      <c r="DL148" s="99"/>
      <c r="DM148" s="99"/>
      <c r="DN148" s="99"/>
      <c r="DO148" s="99"/>
      <c r="DP148" s="99"/>
      <c r="DQ148" s="99"/>
      <c r="DR148" s="99"/>
      <c r="DS148" s="99"/>
      <c r="DT148" s="99"/>
      <c r="DU148" s="99"/>
      <c r="DV148" s="99"/>
      <c r="DW148" s="99"/>
      <c r="DX148" s="99"/>
      <c r="DY148" s="99"/>
      <c r="DZ148" s="99"/>
      <c r="EA148" s="99"/>
      <c r="EB148" s="99"/>
      <c r="EC148" s="99"/>
      <c r="ED148" s="99"/>
      <c r="EE148" s="99"/>
      <c r="EF148" s="99"/>
      <c r="EG148" s="99"/>
      <c r="EH148" s="99"/>
      <c r="EI148" s="99"/>
      <c r="EJ148" s="99"/>
      <c r="EK148" s="99"/>
      <c r="EL148" s="99"/>
      <c r="EM148" s="99"/>
      <c r="EN148" s="99"/>
      <c r="EO148" s="99"/>
      <c r="EP148" s="99"/>
      <c r="EQ148" s="99"/>
      <c r="ER148" s="99"/>
      <c r="ES148" s="99"/>
      <c r="ET148" s="99"/>
      <c r="EU148" s="99"/>
      <c r="EV148" s="99"/>
      <c r="EW148" s="99"/>
      <c r="EX148" s="99"/>
      <c r="EY148" s="99"/>
      <c r="EZ148" s="99"/>
      <c r="FA148" s="99"/>
      <c r="FB148" s="99"/>
      <c r="FC148" s="99"/>
      <c r="FD148" s="99"/>
      <c r="FE148" s="99"/>
      <c r="FF148" s="99"/>
      <c r="FG148" s="99"/>
      <c r="FH148" s="99"/>
      <c r="FI148" s="99"/>
      <c r="FJ148" s="99"/>
      <c r="FK148" s="99"/>
      <c r="FL148" s="99"/>
      <c r="FM148" s="99"/>
      <c r="FN148" s="99"/>
      <c r="FO148" s="99"/>
      <c r="FP148" s="99"/>
      <c r="FQ148" s="99"/>
      <c r="FR148" s="99"/>
      <c r="FS148" s="99"/>
      <c r="FT148" s="99"/>
      <c r="FU148" s="99"/>
      <c r="FV148" s="99"/>
      <c r="FW148" s="99"/>
      <c r="FX148" s="99"/>
      <c r="FY148" s="99"/>
      <c r="FZ148" s="99"/>
      <c r="GA148" s="99"/>
      <c r="GB148" s="99"/>
      <c r="GC148" s="99"/>
      <c r="GD148" s="99"/>
      <c r="GE148" s="99"/>
      <c r="GF148" s="99"/>
      <c r="GG148" s="99"/>
      <c r="GH148" s="99"/>
      <c r="GI148" s="99"/>
      <c r="GJ148" s="99"/>
      <c r="GK148" s="99"/>
      <c r="GL148" s="99"/>
      <c r="GM148" s="99"/>
      <c r="GN148" s="99"/>
      <c r="GO148" s="99"/>
      <c r="GP148" s="99"/>
      <c r="GQ148" s="99"/>
      <c r="GR148" s="99"/>
      <c r="GS148" s="99"/>
      <c r="GT148" s="99"/>
      <c r="GU148" s="99"/>
      <c r="GV148" s="99"/>
      <c r="GW148" s="99"/>
      <c r="GX148" s="99"/>
      <c r="GY148" s="99"/>
      <c r="GZ148" s="99"/>
      <c r="HA148" s="99"/>
      <c r="HB148" s="99"/>
      <c r="HC148" s="99"/>
      <c r="HD148" s="99"/>
      <c r="HE148" s="99"/>
      <c r="HF148" s="99"/>
      <c r="HG148" s="99"/>
      <c r="HH148" s="99"/>
      <c r="HI148" s="99"/>
      <c r="HJ148" s="99"/>
      <c r="HK148" s="99"/>
      <c r="HL148" s="99"/>
      <c r="HM148" s="99"/>
      <c r="HN148" s="99"/>
      <c r="HO148" s="99"/>
      <c r="HP148" s="99"/>
      <c r="HQ148" s="99"/>
      <c r="HR148" s="99"/>
      <c r="HS148" s="99"/>
      <c r="HT148" s="99"/>
      <c r="HU148" s="99"/>
      <c r="HV148" s="99"/>
      <c r="HW148" s="99"/>
      <c r="HX148" s="99"/>
      <c r="HY148" s="99"/>
      <c r="HZ148" s="99"/>
      <c r="IA148" s="99"/>
      <c r="IB148" s="99"/>
      <c r="IC148" s="99"/>
      <c r="ID148" s="99"/>
      <c r="IE148" s="99"/>
      <c r="IF148" s="99"/>
      <c r="IG148" s="99"/>
      <c r="IH148" s="99"/>
      <c r="II148" s="99"/>
      <c r="IJ148" s="99"/>
      <c r="IT148" s="116"/>
    </row>
    <row r="149" spans="1:254" s="1" customFormat="1" ht="31.5">
      <c r="A149" s="115"/>
      <c r="B149" s="186" t="s">
        <v>219</v>
      </c>
      <c r="C149" s="208" t="s">
        <v>263</v>
      </c>
      <c r="D149" s="136" t="s">
        <v>568</v>
      </c>
      <c r="E149" s="223" t="s">
        <v>302</v>
      </c>
      <c r="F149" s="160"/>
      <c r="G149" s="136" t="s">
        <v>557</v>
      </c>
      <c r="H149" s="590" t="s">
        <v>302</v>
      </c>
      <c r="I149" s="136" t="s">
        <v>557</v>
      </c>
      <c r="J149" s="590" t="s">
        <v>302</v>
      </c>
      <c r="K149" s="136"/>
      <c r="L149" s="223"/>
      <c r="M149" s="136"/>
      <c r="N149" s="223"/>
      <c r="O149" s="182">
        <f>0.45 * 0.18*6</f>
        <v>0.48599999999999999</v>
      </c>
      <c r="P149" s="182">
        <f>0.45 * 0.02 * 0.18*6</f>
        <v>9.7200000000000012E-3</v>
      </c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  <c r="AY149" s="99"/>
      <c r="AZ149" s="99"/>
      <c r="BA149" s="99"/>
      <c r="BB149" s="99"/>
      <c r="BC149" s="99"/>
      <c r="BD149" s="99"/>
      <c r="BE149" s="99"/>
      <c r="BF149" s="99"/>
      <c r="BG149" s="99"/>
      <c r="BH149" s="99"/>
      <c r="BI149" s="99"/>
      <c r="BJ149" s="99"/>
      <c r="BK149" s="99"/>
      <c r="BL149" s="99"/>
      <c r="BM149" s="99"/>
      <c r="BN149" s="99"/>
      <c r="BO149" s="99"/>
      <c r="BP149" s="99"/>
      <c r="BQ149" s="99"/>
      <c r="BR149" s="99"/>
      <c r="BS149" s="99"/>
      <c r="BT149" s="99"/>
      <c r="BU149" s="99"/>
      <c r="BV149" s="99"/>
      <c r="BW149" s="99"/>
      <c r="BX149" s="99"/>
      <c r="BY149" s="99"/>
      <c r="BZ149" s="99"/>
      <c r="CA149" s="99"/>
      <c r="CB149" s="99"/>
      <c r="CC149" s="99"/>
      <c r="CD149" s="99"/>
      <c r="CE149" s="99"/>
      <c r="CF149" s="99"/>
      <c r="CG149" s="99"/>
      <c r="CH149" s="99"/>
      <c r="CI149" s="99"/>
      <c r="CJ149" s="99"/>
      <c r="CK149" s="99"/>
      <c r="CL149" s="99"/>
      <c r="CM149" s="99"/>
      <c r="CN149" s="99"/>
      <c r="CO149" s="99"/>
      <c r="CP149" s="99"/>
      <c r="CQ149" s="99"/>
      <c r="CR149" s="99"/>
      <c r="CS149" s="99"/>
      <c r="CT149" s="99"/>
      <c r="CU149" s="99"/>
      <c r="CV149" s="99"/>
      <c r="CW149" s="99"/>
      <c r="CX149" s="99"/>
      <c r="CY149" s="99"/>
      <c r="CZ149" s="99"/>
      <c r="DA149" s="99"/>
      <c r="DB149" s="99"/>
      <c r="DC149" s="99"/>
      <c r="DD149" s="99"/>
      <c r="DE149" s="99"/>
      <c r="DF149" s="99"/>
      <c r="DG149" s="99"/>
      <c r="DH149" s="99"/>
      <c r="DI149" s="99"/>
      <c r="DJ149" s="99"/>
      <c r="DK149" s="99"/>
      <c r="DL149" s="99"/>
      <c r="DM149" s="99"/>
      <c r="DN149" s="99"/>
      <c r="DO149" s="99"/>
      <c r="DP149" s="99"/>
      <c r="DQ149" s="99"/>
      <c r="DR149" s="99"/>
      <c r="DS149" s="99"/>
      <c r="DT149" s="99"/>
      <c r="DU149" s="99"/>
      <c r="DV149" s="99"/>
      <c r="DW149" s="99"/>
      <c r="DX149" s="99"/>
      <c r="DY149" s="99"/>
      <c r="DZ149" s="99"/>
      <c r="EA149" s="99"/>
      <c r="EB149" s="99"/>
      <c r="EC149" s="99"/>
      <c r="ED149" s="99"/>
      <c r="EE149" s="99"/>
      <c r="EF149" s="99"/>
      <c r="EG149" s="99"/>
      <c r="EH149" s="99"/>
      <c r="EI149" s="99"/>
      <c r="EJ149" s="99"/>
      <c r="EK149" s="99"/>
      <c r="EL149" s="99"/>
      <c r="EM149" s="99"/>
      <c r="EN149" s="99"/>
      <c r="EO149" s="99"/>
      <c r="EP149" s="99"/>
      <c r="EQ149" s="99"/>
      <c r="ER149" s="99"/>
      <c r="ES149" s="99"/>
      <c r="ET149" s="99"/>
      <c r="EU149" s="99"/>
      <c r="EV149" s="99"/>
      <c r="EW149" s="99"/>
      <c r="EX149" s="99"/>
      <c r="EY149" s="99"/>
      <c r="EZ149" s="99"/>
      <c r="FA149" s="99"/>
      <c r="FB149" s="99"/>
      <c r="FC149" s="99"/>
      <c r="FD149" s="99"/>
      <c r="FE149" s="99"/>
      <c r="FF149" s="99"/>
      <c r="FG149" s="99"/>
      <c r="FH149" s="99"/>
      <c r="FI149" s="99"/>
      <c r="FJ149" s="99"/>
      <c r="FK149" s="99"/>
      <c r="FL149" s="99"/>
      <c r="FM149" s="99"/>
      <c r="FN149" s="99"/>
      <c r="FO149" s="99"/>
      <c r="FP149" s="99"/>
      <c r="FQ149" s="99"/>
      <c r="FR149" s="99"/>
      <c r="FS149" s="99"/>
      <c r="FT149" s="99"/>
      <c r="FU149" s="99"/>
      <c r="FV149" s="99"/>
      <c r="FW149" s="99"/>
      <c r="FX149" s="99"/>
      <c r="FY149" s="99"/>
      <c r="FZ149" s="99"/>
      <c r="GA149" s="99"/>
      <c r="GB149" s="99"/>
      <c r="GC149" s="99"/>
      <c r="GD149" s="99"/>
      <c r="GE149" s="99"/>
      <c r="GF149" s="99"/>
      <c r="GG149" s="99"/>
      <c r="GH149" s="99"/>
      <c r="GI149" s="99"/>
      <c r="GJ149" s="99"/>
      <c r="GK149" s="99"/>
      <c r="GL149" s="99"/>
      <c r="GM149" s="99"/>
      <c r="GN149" s="99"/>
      <c r="GO149" s="99"/>
      <c r="GP149" s="99"/>
      <c r="GQ149" s="99"/>
      <c r="GR149" s="99"/>
      <c r="GS149" s="99"/>
      <c r="GT149" s="99"/>
      <c r="GU149" s="99"/>
      <c r="GV149" s="99"/>
      <c r="GW149" s="99"/>
      <c r="GX149" s="99"/>
      <c r="GY149" s="99"/>
      <c r="GZ149" s="99"/>
      <c r="HA149" s="99"/>
      <c r="HB149" s="99"/>
      <c r="HC149" s="99"/>
      <c r="HD149" s="99"/>
      <c r="HE149" s="99"/>
      <c r="HF149" s="99"/>
      <c r="HG149" s="99"/>
      <c r="HH149" s="99"/>
      <c r="HI149" s="99"/>
      <c r="HJ149" s="99"/>
      <c r="HK149" s="99"/>
      <c r="HL149" s="99"/>
      <c r="HM149" s="99"/>
      <c r="HN149" s="99"/>
      <c r="HO149" s="99"/>
      <c r="HP149" s="99"/>
      <c r="HQ149" s="99"/>
      <c r="HR149" s="99"/>
      <c r="HS149" s="99"/>
      <c r="HT149" s="99"/>
      <c r="HU149" s="99"/>
      <c r="HV149" s="99"/>
      <c r="HW149" s="99"/>
      <c r="HX149" s="99"/>
      <c r="HY149" s="99"/>
      <c r="HZ149" s="99"/>
      <c r="IA149" s="99"/>
      <c r="IB149" s="99"/>
      <c r="IC149" s="99"/>
      <c r="ID149" s="99"/>
      <c r="IE149" s="99"/>
      <c r="IF149" s="99"/>
      <c r="IG149" s="99"/>
      <c r="IH149" s="99"/>
      <c r="II149" s="99"/>
      <c r="IJ149" s="99"/>
      <c r="IT149" s="116"/>
    </row>
    <row r="150" spans="1:254" s="1" customFormat="1" ht="63.75" thickBot="1">
      <c r="A150" s="115"/>
      <c r="B150" s="186" t="s">
        <v>220</v>
      </c>
      <c r="C150" s="204" t="s">
        <v>377</v>
      </c>
      <c r="D150" s="136" t="s">
        <v>563</v>
      </c>
      <c r="E150" s="223">
        <v>42.52</v>
      </c>
      <c r="F150" s="160"/>
      <c r="G150" s="159" t="s">
        <v>264</v>
      </c>
      <c r="H150" s="590">
        <v>42.52</v>
      </c>
      <c r="I150" s="159" t="s">
        <v>264</v>
      </c>
      <c r="J150" s="590">
        <v>42.52</v>
      </c>
      <c r="K150" s="159"/>
      <c r="L150" s="223"/>
      <c r="M150" s="159"/>
      <c r="N150" s="223"/>
      <c r="O150" s="182">
        <f>0.3*2*O136</f>
        <v>79.5</v>
      </c>
      <c r="P150" s="99">
        <f>3.55+5.99+5.03+3.12+17.44+3.68+3.71</f>
        <v>42.52</v>
      </c>
      <c r="Q150" s="144">
        <f>P150-L150</f>
        <v>42.52</v>
      </c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  <c r="BC150" s="99"/>
      <c r="BD150" s="99"/>
      <c r="BE150" s="99"/>
      <c r="BF150" s="99"/>
      <c r="BG150" s="99"/>
      <c r="BH150" s="99"/>
      <c r="BI150" s="99"/>
      <c r="BJ150" s="99"/>
      <c r="BK150" s="99"/>
      <c r="BL150" s="99"/>
      <c r="BM150" s="99"/>
      <c r="BN150" s="99"/>
      <c r="BO150" s="99"/>
      <c r="BP150" s="99"/>
      <c r="BQ150" s="99"/>
      <c r="BR150" s="99"/>
      <c r="BS150" s="99"/>
      <c r="BT150" s="99"/>
      <c r="BU150" s="99"/>
      <c r="BV150" s="99"/>
      <c r="BW150" s="99"/>
      <c r="BX150" s="99"/>
      <c r="BY150" s="99"/>
      <c r="BZ150" s="99"/>
      <c r="CA150" s="99"/>
      <c r="CB150" s="99"/>
      <c r="CC150" s="99"/>
      <c r="CD150" s="99"/>
      <c r="CE150" s="99"/>
      <c r="CF150" s="99"/>
      <c r="CG150" s="99"/>
      <c r="CH150" s="99"/>
      <c r="CI150" s="99"/>
      <c r="CJ150" s="99"/>
      <c r="CK150" s="99"/>
      <c r="CL150" s="99"/>
      <c r="CM150" s="99"/>
      <c r="CN150" s="99"/>
      <c r="CO150" s="99"/>
      <c r="CP150" s="99"/>
      <c r="CQ150" s="99"/>
      <c r="CR150" s="99"/>
      <c r="CS150" s="99"/>
      <c r="CT150" s="99"/>
      <c r="CU150" s="99"/>
      <c r="CV150" s="99"/>
      <c r="CW150" s="99"/>
      <c r="CX150" s="99"/>
      <c r="CY150" s="99"/>
      <c r="CZ150" s="99"/>
      <c r="DA150" s="99"/>
      <c r="DB150" s="99"/>
      <c r="DC150" s="99"/>
      <c r="DD150" s="99"/>
      <c r="DE150" s="99"/>
      <c r="DF150" s="99"/>
      <c r="DG150" s="99"/>
      <c r="DH150" s="99"/>
      <c r="DI150" s="99"/>
      <c r="DJ150" s="99"/>
      <c r="DK150" s="99"/>
      <c r="DL150" s="99"/>
      <c r="DM150" s="99"/>
      <c r="DN150" s="99"/>
      <c r="DO150" s="99"/>
      <c r="DP150" s="99"/>
      <c r="DQ150" s="99"/>
      <c r="DR150" s="99"/>
      <c r="DS150" s="99"/>
      <c r="DT150" s="99"/>
      <c r="DU150" s="99"/>
      <c r="DV150" s="99"/>
      <c r="DW150" s="99"/>
      <c r="DX150" s="99"/>
      <c r="DY150" s="99"/>
      <c r="DZ150" s="99"/>
      <c r="EA150" s="99"/>
      <c r="EB150" s="99"/>
      <c r="EC150" s="99"/>
      <c r="ED150" s="99"/>
      <c r="EE150" s="99"/>
      <c r="EF150" s="99"/>
      <c r="EG150" s="99"/>
      <c r="EH150" s="99"/>
      <c r="EI150" s="99"/>
      <c r="EJ150" s="99"/>
      <c r="EK150" s="99"/>
      <c r="EL150" s="99"/>
      <c r="EM150" s="99"/>
      <c r="EN150" s="99"/>
      <c r="EO150" s="99"/>
      <c r="EP150" s="99"/>
      <c r="EQ150" s="99"/>
      <c r="ER150" s="99"/>
      <c r="ES150" s="99"/>
      <c r="ET150" s="99"/>
      <c r="EU150" s="99"/>
      <c r="EV150" s="99"/>
      <c r="EW150" s="99"/>
      <c r="EX150" s="99"/>
      <c r="EY150" s="99"/>
      <c r="EZ150" s="99"/>
      <c r="FA150" s="99"/>
      <c r="FB150" s="99"/>
      <c r="FC150" s="99"/>
      <c r="FD150" s="99"/>
      <c r="FE150" s="99"/>
      <c r="FF150" s="99"/>
      <c r="FG150" s="99"/>
      <c r="FH150" s="99"/>
      <c r="FI150" s="99"/>
      <c r="FJ150" s="99"/>
      <c r="FK150" s="99"/>
      <c r="FL150" s="99"/>
      <c r="FM150" s="99"/>
      <c r="FN150" s="99"/>
      <c r="FO150" s="99"/>
      <c r="FP150" s="99"/>
      <c r="FQ150" s="99"/>
      <c r="FR150" s="99"/>
      <c r="FS150" s="99"/>
      <c r="FT150" s="99"/>
      <c r="FU150" s="99"/>
      <c r="FV150" s="99"/>
      <c r="FW150" s="99"/>
      <c r="FX150" s="99"/>
      <c r="FY150" s="99"/>
      <c r="FZ150" s="99"/>
      <c r="GA150" s="99"/>
      <c r="GB150" s="99"/>
      <c r="GC150" s="99"/>
      <c r="GD150" s="99"/>
      <c r="GE150" s="99"/>
      <c r="GF150" s="99"/>
      <c r="GG150" s="99"/>
      <c r="GH150" s="99"/>
      <c r="GI150" s="99"/>
      <c r="GJ150" s="99"/>
      <c r="GK150" s="99"/>
      <c r="GL150" s="99"/>
      <c r="GM150" s="99"/>
      <c r="GN150" s="99"/>
      <c r="GO150" s="99"/>
      <c r="GP150" s="99"/>
      <c r="GQ150" s="99"/>
      <c r="GR150" s="99"/>
      <c r="GS150" s="99"/>
      <c r="GT150" s="99"/>
      <c r="GU150" s="99"/>
      <c r="GV150" s="99"/>
      <c r="GW150" s="99"/>
      <c r="GX150" s="99"/>
      <c r="GY150" s="99"/>
      <c r="GZ150" s="99"/>
      <c r="HA150" s="99"/>
      <c r="HB150" s="99"/>
      <c r="HC150" s="99"/>
      <c r="HD150" s="99"/>
      <c r="HE150" s="99"/>
      <c r="HF150" s="99"/>
      <c r="HG150" s="99"/>
      <c r="HH150" s="99"/>
      <c r="HI150" s="99"/>
      <c r="HJ150" s="99"/>
      <c r="HK150" s="99"/>
      <c r="HL150" s="99"/>
      <c r="HM150" s="99"/>
      <c r="HN150" s="99"/>
      <c r="HO150" s="99"/>
      <c r="HP150" s="99"/>
      <c r="HQ150" s="99"/>
      <c r="HR150" s="99"/>
      <c r="HS150" s="99"/>
      <c r="HT150" s="99"/>
      <c r="HU150" s="99"/>
      <c r="HV150" s="99"/>
      <c r="HW150" s="99"/>
      <c r="HX150" s="99"/>
      <c r="HY150" s="99"/>
      <c r="HZ150" s="99"/>
      <c r="IA150" s="99"/>
      <c r="IB150" s="99"/>
      <c r="IC150" s="99"/>
      <c r="ID150" s="99"/>
      <c r="IE150" s="99"/>
      <c r="IF150" s="99"/>
      <c r="IG150" s="99"/>
      <c r="IH150" s="99"/>
      <c r="II150" s="99"/>
      <c r="IJ150" s="99"/>
      <c r="IT150" s="116"/>
    </row>
    <row r="151" spans="1:254" ht="32.25" thickBot="1">
      <c r="A151" s="117"/>
      <c r="B151" s="255"/>
      <c r="C151" s="316" t="s">
        <v>267</v>
      </c>
      <c r="D151" s="255"/>
      <c r="E151" s="318"/>
      <c r="F151" s="317"/>
      <c r="G151" s="317"/>
      <c r="H151" s="591"/>
      <c r="I151" s="317"/>
      <c r="J151" s="591"/>
      <c r="K151" s="317"/>
      <c r="L151" s="318"/>
      <c r="M151" s="317"/>
      <c r="N151" s="318"/>
      <c r="O151" s="262"/>
      <c r="P151" s="262"/>
      <c r="Q151" s="263"/>
      <c r="R151" s="264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  <c r="AY151" s="99"/>
      <c r="AZ151" s="99"/>
      <c r="BA151" s="99"/>
      <c r="BB151" s="99"/>
      <c r="BC151" s="99"/>
      <c r="BD151" s="99"/>
      <c r="BE151" s="99"/>
      <c r="BF151" s="99"/>
      <c r="BG151" s="99"/>
      <c r="BH151" s="99"/>
      <c r="BI151" s="99"/>
      <c r="BJ151" s="99"/>
      <c r="BK151" s="99"/>
      <c r="BL151" s="99"/>
      <c r="BM151" s="99"/>
      <c r="BN151" s="99"/>
      <c r="BO151" s="99"/>
      <c r="BP151" s="99"/>
      <c r="BQ151" s="99"/>
      <c r="BR151" s="99"/>
      <c r="BS151" s="99"/>
      <c r="BT151" s="99"/>
      <c r="BU151" s="99"/>
      <c r="BV151" s="99"/>
      <c r="BW151" s="99"/>
      <c r="BX151" s="99"/>
      <c r="BY151" s="99"/>
      <c r="BZ151" s="99"/>
      <c r="CA151" s="99"/>
      <c r="CB151" s="99"/>
      <c r="CC151" s="99"/>
      <c r="CD151" s="99"/>
      <c r="CE151" s="99"/>
      <c r="CF151" s="99"/>
      <c r="CG151" s="99"/>
      <c r="CH151" s="99"/>
      <c r="CI151" s="99"/>
      <c r="CJ151" s="99"/>
      <c r="CK151" s="99"/>
      <c r="CL151" s="99"/>
      <c r="CM151" s="99"/>
      <c r="CN151" s="99"/>
      <c r="CO151" s="99"/>
      <c r="CP151" s="99"/>
      <c r="CQ151" s="99"/>
      <c r="CR151" s="99"/>
      <c r="CS151" s="99"/>
      <c r="CT151" s="99"/>
      <c r="CU151" s="99"/>
      <c r="CV151" s="99"/>
      <c r="CW151" s="99"/>
      <c r="CX151" s="99"/>
      <c r="CY151" s="99"/>
      <c r="CZ151" s="99"/>
      <c r="DA151" s="99"/>
      <c r="DB151" s="99"/>
      <c r="DC151" s="99"/>
      <c r="DD151" s="99"/>
      <c r="DE151" s="99"/>
      <c r="DF151" s="99"/>
      <c r="DG151" s="99"/>
      <c r="DH151" s="99"/>
      <c r="DI151" s="99"/>
      <c r="DJ151" s="99"/>
      <c r="DK151" s="99"/>
      <c r="DL151" s="99"/>
      <c r="DM151" s="99"/>
      <c r="DN151" s="99"/>
      <c r="DO151" s="99"/>
      <c r="DP151" s="99"/>
      <c r="DQ151" s="99"/>
      <c r="DR151" s="99"/>
      <c r="DS151" s="99"/>
      <c r="DT151" s="99"/>
      <c r="DU151" s="99"/>
      <c r="DV151" s="99"/>
      <c r="DW151" s="99"/>
      <c r="DX151" s="99"/>
      <c r="DY151" s="99"/>
      <c r="DZ151" s="99"/>
      <c r="EA151" s="99"/>
      <c r="EB151" s="99"/>
      <c r="EC151" s="99"/>
      <c r="ED151" s="99"/>
      <c r="EE151" s="99"/>
      <c r="EF151" s="99"/>
      <c r="EG151" s="99"/>
      <c r="EH151" s="99"/>
      <c r="EI151" s="99"/>
      <c r="EJ151" s="99"/>
      <c r="EK151" s="99"/>
      <c r="EL151" s="99"/>
      <c r="EM151" s="99"/>
      <c r="EN151" s="99"/>
      <c r="EO151" s="99"/>
      <c r="EP151" s="99"/>
      <c r="EQ151" s="99"/>
      <c r="ER151" s="99"/>
      <c r="ES151" s="99"/>
      <c r="ET151" s="99"/>
      <c r="EU151" s="99"/>
      <c r="EV151" s="99"/>
      <c r="EW151" s="99"/>
      <c r="EX151" s="99"/>
      <c r="EY151" s="99"/>
      <c r="EZ151" s="99"/>
      <c r="FA151" s="99"/>
      <c r="FB151" s="99"/>
      <c r="FC151" s="99"/>
      <c r="FD151" s="99"/>
      <c r="FE151" s="99"/>
      <c r="FF151" s="99"/>
      <c r="FG151" s="99"/>
      <c r="FH151" s="99"/>
      <c r="FI151" s="99"/>
      <c r="FJ151" s="99"/>
      <c r="FK151" s="99"/>
      <c r="FL151" s="99"/>
      <c r="FM151" s="99"/>
      <c r="FN151" s="99"/>
      <c r="FO151" s="99"/>
      <c r="FP151" s="99"/>
      <c r="FQ151" s="99"/>
      <c r="FR151" s="99"/>
      <c r="FS151" s="99"/>
      <c r="FT151" s="99"/>
      <c r="FU151" s="99"/>
      <c r="FV151" s="99"/>
      <c r="FW151" s="99"/>
      <c r="FX151" s="99"/>
      <c r="FY151" s="99"/>
      <c r="FZ151" s="99"/>
      <c r="GA151" s="99"/>
      <c r="GB151" s="99"/>
      <c r="GC151" s="99"/>
      <c r="GD151" s="99"/>
      <c r="GE151" s="99"/>
      <c r="GF151" s="99"/>
      <c r="GG151" s="99"/>
      <c r="GH151" s="99"/>
      <c r="GI151" s="99"/>
      <c r="GJ151" s="99"/>
      <c r="GK151" s="99"/>
      <c r="GL151" s="99"/>
      <c r="GM151" s="99"/>
      <c r="GN151" s="99"/>
      <c r="GO151" s="99"/>
      <c r="GP151" s="99"/>
      <c r="GQ151" s="99"/>
      <c r="GR151" s="99"/>
      <c r="GS151" s="99"/>
      <c r="GT151" s="99"/>
      <c r="GU151" s="99"/>
      <c r="GV151" s="99"/>
      <c r="GW151" s="99"/>
      <c r="GX151" s="99"/>
      <c r="GY151" s="99"/>
      <c r="GZ151" s="99"/>
      <c r="HA151" s="99"/>
      <c r="HB151" s="99"/>
      <c r="HC151" s="99"/>
      <c r="HD151" s="99"/>
      <c r="HE151" s="99"/>
      <c r="HF151" s="99"/>
      <c r="HG151" s="99"/>
      <c r="HH151" s="99"/>
      <c r="HI151" s="99"/>
      <c r="HJ151" s="99"/>
      <c r="HK151" s="99"/>
      <c r="HL151" s="99"/>
      <c r="HM151" s="99"/>
      <c r="HN151" s="99"/>
      <c r="HO151" s="99"/>
      <c r="HP151" s="99"/>
      <c r="HQ151" s="99"/>
      <c r="HR151" s="99"/>
      <c r="HS151" s="99"/>
      <c r="HT151" s="99"/>
      <c r="HU151" s="99"/>
      <c r="HV151" s="99"/>
      <c r="HW151" s="99"/>
      <c r="HX151" s="99"/>
      <c r="HY151" s="99"/>
      <c r="HZ151" s="99"/>
      <c r="IA151" s="99"/>
      <c r="IB151" s="99"/>
      <c r="IC151" s="99"/>
      <c r="ID151" s="99"/>
      <c r="IE151" s="99"/>
      <c r="IF151" s="99"/>
      <c r="IG151" s="99"/>
      <c r="IH151" s="99"/>
      <c r="II151" s="99"/>
      <c r="IJ151" s="99"/>
    </row>
    <row r="152" spans="1:254" ht="18.75">
      <c r="A152" s="117"/>
      <c r="B152" s="203" t="s">
        <v>268</v>
      </c>
      <c r="C152" s="307" t="s">
        <v>234</v>
      </c>
      <c r="D152" s="187" t="s">
        <v>560</v>
      </c>
      <c r="E152" s="270">
        <v>0.14000000000000001</v>
      </c>
      <c r="F152" s="203"/>
      <c r="G152" s="176" t="s">
        <v>264</v>
      </c>
      <c r="H152" s="592">
        <v>0.14000000000000001</v>
      </c>
      <c r="I152" s="176" t="s">
        <v>264</v>
      </c>
      <c r="J152" s="592">
        <v>0.14000000000000001</v>
      </c>
      <c r="K152" s="176"/>
      <c r="L152" s="270"/>
      <c r="M152" s="176"/>
      <c r="N152" s="270"/>
      <c r="O152" s="263">
        <v>0.14000000000000001</v>
      </c>
      <c r="P152" s="263"/>
      <c r="Q152" s="263"/>
      <c r="R152" s="264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  <c r="AY152" s="99"/>
      <c r="AZ152" s="99"/>
      <c r="BA152" s="99"/>
      <c r="BB152" s="99"/>
      <c r="BC152" s="99"/>
      <c r="BD152" s="99"/>
      <c r="BE152" s="99"/>
      <c r="BF152" s="99"/>
      <c r="BG152" s="99"/>
      <c r="BH152" s="99"/>
      <c r="BI152" s="99"/>
      <c r="BJ152" s="99"/>
      <c r="BK152" s="99"/>
      <c r="BL152" s="99"/>
      <c r="BM152" s="99"/>
      <c r="BN152" s="99"/>
      <c r="BO152" s="99"/>
      <c r="BP152" s="99"/>
      <c r="BQ152" s="99"/>
      <c r="BR152" s="99"/>
      <c r="BS152" s="99"/>
      <c r="BT152" s="99"/>
      <c r="BU152" s="99"/>
      <c r="BV152" s="99"/>
      <c r="BW152" s="99"/>
      <c r="BX152" s="99"/>
      <c r="BY152" s="99"/>
      <c r="BZ152" s="99"/>
      <c r="CA152" s="99"/>
      <c r="CB152" s="99"/>
      <c r="CC152" s="99"/>
      <c r="CD152" s="99"/>
      <c r="CE152" s="99"/>
      <c r="CF152" s="99"/>
      <c r="CG152" s="99"/>
      <c r="CH152" s="99"/>
      <c r="CI152" s="99"/>
      <c r="CJ152" s="99"/>
      <c r="CK152" s="99"/>
      <c r="CL152" s="99"/>
      <c r="CM152" s="99"/>
      <c r="CN152" s="99"/>
      <c r="CO152" s="99"/>
      <c r="CP152" s="99"/>
      <c r="CQ152" s="99"/>
      <c r="CR152" s="99"/>
      <c r="CS152" s="99"/>
      <c r="CT152" s="99"/>
      <c r="CU152" s="99"/>
      <c r="CV152" s="99"/>
      <c r="CW152" s="99"/>
      <c r="CX152" s="99"/>
      <c r="CY152" s="99"/>
      <c r="CZ152" s="99"/>
      <c r="DA152" s="99"/>
      <c r="DB152" s="99"/>
      <c r="DC152" s="99"/>
      <c r="DD152" s="99"/>
      <c r="DE152" s="99"/>
      <c r="DF152" s="99"/>
      <c r="DG152" s="99"/>
      <c r="DH152" s="99"/>
      <c r="DI152" s="99"/>
      <c r="DJ152" s="99"/>
      <c r="DK152" s="99"/>
      <c r="DL152" s="99"/>
      <c r="DM152" s="99"/>
      <c r="DN152" s="99"/>
      <c r="DO152" s="99"/>
      <c r="DP152" s="99"/>
      <c r="DQ152" s="99"/>
      <c r="DR152" s="99"/>
      <c r="DS152" s="99"/>
      <c r="DT152" s="99"/>
      <c r="DU152" s="99"/>
      <c r="DV152" s="99"/>
      <c r="DW152" s="99"/>
      <c r="DX152" s="99"/>
      <c r="DY152" s="99"/>
      <c r="DZ152" s="99"/>
      <c r="EA152" s="99"/>
      <c r="EB152" s="99"/>
      <c r="EC152" s="99"/>
      <c r="ED152" s="99"/>
      <c r="EE152" s="99"/>
      <c r="EF152" s="99"/>
      <c r="EG152" s="99"/>
      <c r="EH152" s="99"/>
      <c r="EI152" s="99"/>
      <c r="EJ152" s="99"/>
      <c r="EK152" s="99"/>
      <c r="EL152" s="99"/>
      <c r="EM152" s="99"/>
      <c r="EN152" s="99"/>
      <c r="EO152" s="99"/>
      <c r="EP152" s="99"/>
      <c r="EQ152" s="99"/>
      <c r="ER152" s="99"/>
      <c r="ES152" s="99"/>
      <c r="ET152" s="99"/>
      <c r="EU152" s="99"/>
      <c r="EV152" s="99"/>
      <c r="EW152" s="99"/>
      <c r="EX152" s="99"/>
      <c r="EY152" s="99"/>
      <c r="EZ152" s="99"/>
      <c r="FA152" s="99"/>
      <c r="FB152" s="99"/>
      <c r="FC152" s="99"/>
      <c r="FD152" s="99"/>
      <c r="FE152" s="99"/>
      <c r="FF152" s="99"/>
      <c r="FG152" s="99"/>
      <c r="FH152" s="99"/>
      <c r="FI152" s="99"/>
      <c r="FJ152" s="99"/>
      <c r="FK152" s="99"/>
      <c r="FL152" s="99"/>
      <c r="FM152" s="99"/>
      <c r="FN152" s="99"/>
      <c r="FO152" s="99"/>
      <c r="FP152" s="99"/>
      <c r="FQ152" s="99"/>
      <c r="FR152" s="99"/>
      <c r="FS152" s="99"/>
      <c r="FT152" s="99"/>
      <c r="FU152" s="99"/>
      <c r="FV152" s="99"/>
      <c r="FW152" s="99"/>
      <c r="FX152" s="99"/>
      <c r="FY152" s="99"/>
      <c r="FZ152" s="99"/>
      <c r="GA152" s="99"/>
      <c r="GB152" s="99"/>
      <c r="GC152" s="99"/>
      <c r="GD152" s="99"/>
      <c r="GE152" s="99"/>
      <c r="GF152" s="99"/>
      <c r="GG152" s="99"/>
      <c r="GH152" s="99"/>
      <c r="GI152" s="99"/>
      <c r="GJ152" s="99"/>
      <c r="GK152" s="99"/>
      <c r="GL152" s="99"/>
      <c r="GM152" s="99"/>
      <c r="GN152" s="99"/>
      <c r="GO152" s="99"/>
      <c r="GP152" s="99"/>
      <c r="GQ152" s="99"/>
      <c r="GR152" s="99"/>
      <c r="GS152" s="99"/>
      <c r="GT152" s="99"/>
      <c r="GU152" s="99"/>
      <c r="GV152" s="99"/>
      <c r="GW152" s="99"/>
      <c r="GX152" s="99"/>
      <c r="GY152" s="99"/>
      <c r="GZ152" s="99"/>
      <c r="HA152" s="99"/>
      <c r="HB152" s="99"/>
      <c r="HC152" s="99"/>
      <c r="HD152" s="99"/>
      <c r="HE152" s="99"/>
      <c r="HF152" s="99"/>
      <c r="HG152" s="99"/>
      <c r="HH152" s="99"/>
      <c r="HI152" s="99"/>
      <c r="HJ152" s="99"/>
      <c r="HK152" s="99"/>
      <c r="HL152" s="99"/>
      <c r="HM152" s="99"/>
      <c r="HN152" s="99"/>
      <c r="HO152" s="99"/>
      <c r="HP152" s="99"/>
      <c r="HQ152" s="99"/>
      <c r="HR152" s="99"/>
      <c r="HS152" s="99"/>
      <c r="HT152" s="99"/>
      <c r="HU152" s="99"/>
      <c r="HV152" s="99"/>
      <c r="HW152" s="99"/>
      <c r="HX152" s="99"/>
      <c r="HY152" s="99"/>
      <c r="HZ152" s="99"/>
      <c r="IA152" s="99"/>
      <c r="IB152" s="99"/>
      <c r="IC152" s="99"/>
      <c r="ID152" s="99"/>
      <c r="IE152" s="99"/>
      <c r="IF152" s="99"/>
      <c r="IG152" s="99"/>
      <c r="IH152" s="99"/>
      <c r="II152" s="99"/>
      <c r="IJ152" s="99"/>
      <c r="IT152" s="112"/>
    </row>
    <row r="153" spans="1:254" ht="31.5">
      <c r="A153" s="117"/>
      <c r="B153" s="394" t="s">
        <v>516</v>
      </c>
      <c r="C153" s="532" t="s">
        <v>515</v>
      </c>
      <c r="D153" s="385" t="s">
        <v>165</v>
      </c>
      <c r="E153" s="418" t="s">
        <v>517</v>
      </c>
      <c r="F153" s="532" t="s">
        <v>547</v>
      </c>
      <c r="G153" s="387" t="s">
        <v>557</v>
      </c>
      <c r="H153" s="593" t="s">
        <v>517</v>
      </c>
      <c r="I153" s="387" t="s">
        <v>557</v>
      </c>
      <c r="J153" s="593" t="s">
        <v>517</v>
      </c>
      <c r="K153" s="418"/>
      <c r="L153" s="418"/>
      <c r="M153" s="418"/>
      <c r="N153" s="418"/>
      <c r="O153" s="263"/>
      <c r="P153" s="263"/>
      <c r="Q153" s="263"/>
      <c r="R153" s="264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  <c r="AY153" s="99"/>
      <c r="AZ153" s="99"/>
      <c r="BA153" s="99"/>
      <c r="BB153" s="99"/>
      <c r="BC153" s="99"/>
      <c r="BD153" s="99"/>
      <c r="BE153" s="99"/>
      <c r="BF153" s="99"/>
      <c r="BG153" s="99"/>
      <c r="BH153" s="99"/>
      <c r="BI153" s="99"/>
      <c r="BJ153" s="99"/>
      <c r="BK153" s="99"/>
      <c r="BL153" s="99"/>
      <c r="BM153" s="99"/>
      <c r="BN153" s="99"/>
      <c r="BO153" s="99"/>
      <c r="BP153" s="99"/>
      <c r="BQ153" s="99"/>
      <c r="BR153" s="99"/>
      <c r="BS153" s="99"/>
      <c r="BT153" s="99"/>
      <c r="BU153" s="99"/>
      <c r="BV153" s="99"/>
      <c r="BW153" s="99"/>
      <c r="BX153" s="99"/>
      <c r="BY153" s="99"/>
      <c r="BZ153" s="99"/>
      <c r="CA153" s="99"/>
      <c r="CB153" s="99"/>
      <c r="CC153" s="99"/>
      <c r="CD153" s="99"/>
      <c r="CE153" s="99"/>
      <c r="CF153" s="99"/>
      <c r="CG153" s="99"/>
      <c r="CH153" s="99"/>
      <c r="CI153" s="99"/>
      <c r="CJ153" s="99"/>
      <c r="CK153" s="99"/>
      <c r="CL153" s="99"/>
      <c r="CM153" s="99"/>
      <c r="CN153" s="99"/>
      <c r="CO153" s="99"/>
      <c r="CP153" s="99"/>
      <c r="CQ153" s="99"/>
      <c r="CR153" s="99"/>
      <c r="CS153" s="99"/>
      <c r="CT153" s="99"/>
      <c r="CU153" s="99"/>
      <c r="CV153" s="99"/>
      <c r="CW153" s="99"/>
      <c r="CX153" s="99"/>
      <c r="CY153" s="99"/>
      <c r="CZ153" s="99"/>
      <c r="DA153" s="99"/>
      <c r="DB153" s="99"/>
      <c r="DC153" s="99"/>
      <c r="DD153" s="99"/>
      <c r="DE153" s="99"/>
      <c r="DF153" s="99"/>
      <c r="DG153" s="99"/>
      <c r="DH153" s="99"/>
      <c r="DI153" s="99"/>
      <c r="DJ153" s="99"/>
      <c r="DK153" s="99"/>
      <c r="DL153" s="99"/>
      <c r="DM153" s="99"/>
      <c r="DN153" s="99"/>
      <c r="DO153" s="99"/>
      <c r="DP153" s="99"/>
      <c r="DQ153" s="99"/>
      <c r="DR153" s="99"/>
      <c r="DS153" s="99"/>
      <c r="DT153" s="99"/>
      <c r="DU153" s="99"/>
      <c r="DV153" s="99"/>
      <c r="DW153" s="99"/>
      <c r="DX153" s="99"/>
      <c r="DY153" s="99"/>
      <c r="DZ153" s="99"/>
      <c r="EA153" s="99"/>
      <c r="EB153" s="99"/>
      <c r="EC153" s="99"/>
      <c r="ED153" s="99"/>
      <c r="EE153" s="99"/>
      <c r="EF153" s="99"/>
      <c r="EG153" s="99"/>
      <c r="EH153" s="99"/>
      <c r="EI153" s="99"/>
      <c r="EJ153" s="99"/>
      <c r="EK153" s="99"/>
      <c r="EL153" s="99"/>
      <c r="EM153" s="99"/>
      <c r="EN153" s="99"/>
      <c r="EO153" s="99"/>
      <c r="EP153" s="99"/>
      <c r="EQ153" s="99"/>
      <c r="ER153" s="99"/>
      <c r="ES153" s="99"/>
      <c r="ET153" s="99"/>
      <c r="EU153" s="99"/>
      <c r="EV153" s="99"/>
      <c r="EW153" s="99"/>
      <c r="EX153" s="99"/>
      <c r="EY153" s="99"/>
      <c r="EZ153" s="99"/>
      <c r="FA153" s="99"/>
      <c r="FB153" s="99"/>
      <c r="FC153" s="99"/>
      <c r="FD153" s="99"/>
      <c r="FE153" s="99"/>
      <c r="FF153" s="99"/>
      <c r="FG153" s="99"/>
      <c r="FH153" s="99"/>
      <c r="FI153" s="99"/>
      <c r="FJ153" s="99"/>
      <c r="FK153" s="99"/>
      <c r="FL153" s="99"/>
      <c r="FM153" s="99"/>
      <c r="FN153" s="99"/>
      <c r="FO153" s="99"/>
      <c r="FP153" s="99"/>
      <c r="FQ153" s="99"/>
      <c r="FR153" s="99"/>
      <c r="FS153" s="99"/>
      <c r="FT153" s="99"/>
      <c r="FU153" s="99"/>
      <c r="FV153" s="99"/>
      <c r="FW153" s="99"/>
      <c r="FX153" s="99"/>
      <c r="FY153" s="99"/>
      <c r="FZ153" s="99"/>
      <c r="GA153" s="99"/>
      <c r="GB153" s="99"/>
      <c r="GC153" s="99"/>
      <c r="GD153" s="99"/>
      <c r="GE153" s="99"/>
      <c r="GF153" s="99"/>
      <c r="GG153" s="99"/>
      <c r="GH153" s="99"/>
      <c r="GI153" s="99"/>
      <c r="GJ153" s="99"/>
      <c r="GK153" s="99"/>
      <c r="GL153" s="99"/>
      <c r="GM153" s="99"/>
      <c r="GN153" s="99"/>
      <c r="GO153" s="99"/>
      <c r="GP153" s="99"/>
      <c r="GQ153" s="99"/>
      <c r="GR153" s="99"/>
      <c r="GS153" s="99"/>
      <c r="GT153" s="99"/>
      <c r="GU153" s="99"/>
      <c r="GV153" s="99"/>
      <c r="GW153" s="99"/>
      <c r="GX153" s="99"/>
      <c r="GY153" s="99"/>
      <c r="GZ153" s="99"/>
      <c r="HA153" s="99"/>
      <c r="HB153" s="99"/>
      <c r="HC153" s="99"/>
      <c r="HD153" s="99"/>
      <c r="HE153" s="99"/>
      <c r="HF153" s="99"/>
      <c r="HG153" s="99"/>
      <c r="HH153" s="99"/>
      <c r="HI153" s="99"/>
      <c r="HJ153" s="99"/>
      <c r="HK153" s="99"/>
      <c r="HL153" s="99"/>
      <c r="HM153" s="99"/>
      <c r="HN153" s="99"/>
      <c r="HO153" s="99"/>
      <c r="HP153" s="99"/>
      <c r="HQ153" s="99"/>
      <c r="HR153" s="99"/>
      <c r="HS153" s="99"/>
      <c r="HT153" s="99"/>
      <c r="HU153" s="99"/>
      <c r="HV153" s="99"/>
      <c r="HW153" s="99"/>
      <c r="HX153" s="99"/>
      <c r="HY153" s="99"/>
      <c r="HZ153" s="99"/>
      <c r="IA153" s="99"/>
      <c r="IB153" s="99"/>
      <c r="IC153" s="99"/>
      <c r="ID153" s="99"/>
      <c r="IE153" s="99"/>
      <c r="IF153" s="99"/>
      <c r="IG153" s="99"/>
      <c r="IH153" s="99"/>
      <c r="II153" s="99"/>
      <c r="IJ153" s="99"/>
      <c r="IT153" s="112"/>
    </row>
    <row r="154" spans="1:254" ht="31.5">
      <c r="A154" s="117"/>
      <c r="B154" s="394" t="s">
        <v>519</v>
      </c>
      <c r="C154" s="507" t="s">
        <v>548</v>
      </c>
      <c r="D154" s="439" t="s">
        <v>569</v>
      </c>
      <c r="E154" s="524">
        <v>0.49</v>
      </c>
      <c r="F154" s="532" t="s">
        <v>547</v>
      </c>
      <c r="G154" s="533" t="s">
        <v>264</v>
      </c>
      <c r="H154" s="594">
        <v>0.49</v>
      </c>
      <c r="I154" s="533" t="s">
        <v>264</v>
      </c>
      <c r="J154" s="594">
        <v>0.49</v>
      </c>
      <c r="K154" s="524"/>
      <c r="L154" s="524"/>
      <c r="M154" s="524"/>
      <c r="N154" s="524"/>
      <c r="O154" s="263">
        <v>0.49</v>
      </c>
      <c r="P154" s="263"/>
      <c r="Q154" s="263"/>
      <c r="R154" s="264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  <c r="AY154" s="99"/>
      <c r="AZ154" s="99"/>
      <c r="BA154" s="99"/>
      <c r="BB154" s="99"/>
      <c r="BC154" s="99"/>
      <c r="BD154" s="99"/>
      <c r="BE154" s="99"/>
      <c r="BF154" s="99"/>
      <c r="BG154" s="99"/>
      <c r="BH154" s="99"/>
      <c r="BI154" s="99"/>
      <c r="BJ154" s="99"/>
      <c r="BK154" s="99"/>
      <c r="BL154" s="99"/>
      <c r="BM154" s="99"/>
      <c r="BN154" s="99"/>
      <c r="BO154" s="99"/>
      <c r="BP154" s="99"/>
      <c r="BQ154" s="99"/>
      <c r="BR154" s="99"/>
      <c r="BS154" s="99"/>
      <c r="BT154" s="99"/>
      <c r="BU154" s="99"/>
      <c r="BV154" s="99"/>
      <c r="BW154" s="99"/>
      <c r="BX154" s="99"/>
      <c r="BY154" s="99"/>
      <c r="BZ154" s="99"/>
      <c r="CA154" s="99"/>
      <c r="CB154" s="99"/>
      <c r="CC154" s="99"/>
      <c r="CD154" s="99"/>
      <c r="CE154" s="99"/>
      <c r="CF154" s="99"/>
      <c r="CG154" s="99"/>
      <c r="CH154" s="99"/>
      <c r="CI154" s="99"/>
      <c r="CJ154" s="99"/>
      <c r="CK154" s="99"/>
      <c r="CL154" s="99"/>
      <c r="CM154" s="99"/>
      <c r="CN154" s="99"/>
      <c r="CO154" s="99"/>
      <c r="CP154" s="99"/>
      <c r="CQ154" s="99"/>
      <c r="CR154" s="99"/>
      <c r="CS154" s="99"/>
      <c r="CT154" s="99"/>
      <c r="CU154" s="99"/>
      <c r="CV154" s="99"/>
      <c r="CW154" s="99"/>
      <c r="CX154" s="99"/>
      <c r="CY154" s="99"/>
      <c r="CZ154" s="99"/>
      <c r="DA154" s="99"/>
      <c r="DB154" s="99"/>
      <c r="DC154" s="99"/>
      <c r="DD154" s="99"/>
      <c r="DE154" s="99"/>
      <c r="DF154" s="99"/>
      <c r="DG154" s="99"/>
      <c r="DH154" s="99"/>
      <c r="DI154" s="99"/>
      <c r="DJ154" s="99"/>
      <c r="DK154" s="99"/>
      <c r="DL154" s="99"/>
      <c r="DM154" s="99"/>
      <c r="DN154" s="99"/>
      <c r="DO154" s="99"/>
      <c r="DP154" s="99"/>
      <c r="DQ154" s="99"/>
      <c r="DR154" s="99"/>
      <c r="DS154" s="99"/>
      <c r="DT154" s="99"/>
      <c r="DU154" s="99"/>
      <c r="DV154" s="99"/>
      <c r="DW154" s="99"/>
      <c r="DX154" s="99"/>
      <c r="DY154" s="99"/>
      <c r="DZ154" s="99"/>
      <c r="EA154" s="99"/>
      <c r="EB154" s="99"/>
      <c r="EC154" s="99"/>
      <c r="ED154" s="99"/>
      <c r="EE154" s="99"/>
      <c r="EF154" s="99"/>
      <c r="EG154" s="99"/>
      <c r="EH154" s="99"/>
      <c r="EI154" s="99"/>
      <c r="EJ154" s="99"/>
      <c r="EK154" s="99"/>
      <c r="EL154" s="99"/>
      <c r="EM154" s="99"/>
      <c r="EN154" s="99"/>
      <c r="EO154" s="99"/>
      <c r="EP154" s="99"/>
      <c r="EQ154" s="99"/>
      <c r="ER154" s="99"/>
      <c r="ES154" s="99"/>
      <c r="ET154" s="99"/>
      <c r="EU154" s="99"/>
      <c r="EV154" s="99"/>
      <c r="EW154" s="99"/>
      <c r="EX154" s="99"/>
      <c r="EY154" s="99"/>
      <c r="EZ154" s="99"/>
      <c r="FA154" s="99"/>
      <c r="FB154" s="99"/>
      <c r="FC154" s="99"/>
      <c r="FD154" s="99"/>
      <c r="FE154" s="99"/>
      <c r="FF154" s="99"/>
      <c r="FG154" s="99"/>
      <c r="FH154" s="99"/>
      <c r="FI154" s="99"/>
      <c r="FJ154" s="99"/>
      <c r="FK154" s="99"/>
      <c r="FL154" s="99"/>
      <c r="FM154" s="99"/>
      <c r="FN154" s="99"/>
      <c r="FO154" s="99"/>
      <c r="FP154" s="99"/>
      <c r="FQ154" s="99"/>
      <c r="FR154" s="99"/>
      <c r="FS154" s="99"/>
      <c r="FT154" s="99"/>
      <c r="FU154" s="99"/>
      <c r="FV154" s="99"/>
      <c r="FW154" s="99"/>
      <c r="FX154" s="99"/>
      <c r="FY154" s="99"/>
      <c r="FZ154" s="99"/>
      <c r="GA154" s="99"/>
      <c r="GB154" s="99"/>
      <c r="GC154" s="99"/>
      <c r="GD154" s="99"/>
      <c r="GE154" s="99"/>
      <c r="GF154" s="99"/>
      <c r="GG154" s="99"/>
      <c r="GH154" s="99"/>
      <c r="GI154" s="99"/>
      <c r="GJ154" s="99"/>
      <c r="GK154" s="99"/>
      <c r="GL154" s="99"/>
      <c r="GM154" s="99"/>
      <c r="GN154" s="99"/>
      <c r="GO154" s="99"/>
      <c r="GP154" s="99"/>
      <c r="GQ154" s="99"/>
      <c r="GR154" s="99"/>
      <c r="GS154" s="99"/>
      <c r="GT154" s="99"/>
      <c r="GU154" s="99"/>
      <c r="GV154" s="99"/>
      <c r="GW154" s="99"/>
      <c r="GX154" s="99"/>
      <c r="GY154" s="99"/>
      <c r="GZ154" s="99"/>
      <c r="HA154" s="99"/>
      <c r="HB154" s="99"/>
      <c r="HC154" s="99"/>
      <c r="HD154" s="99"/>
      <c r="HE154" s="99"/>
      <c r="HF154" s="99"/>
      <c r="HG154" s="99"/>
      <c r="HH154" s="99"/>
      <c r="HI154" s="99"/>
      <c r="HJ154" s="99"/>
      <c r="HK154" s="99"/>
      <c r="HL154" s="99"/>
      <c r="HM154" s="99"/>
      <c r="HN154" s="99"/>
      <c r="HO154" s="99"/>
      <c r="HP154" s="99"/>
      <c r="HQ154" s="99"/>
      <c r="HR154" s="99"/>
      <c r="HS154" s="99"/>
      <c r="HT154" s="99"/>
      <c r="HU154" s="99"/>
      <c r="HV154" s="99"/>
      <c r="HW154" s="99"/>
      <c r="HX154" s="99"/>
      <c r="HY154" s="99"/>
      <c r="HZ154" s="99"/>
      <c r="IA154" s="99"/>
      <c r="IB154" s="99"/>
      <c r="IC154" s="99"/>
      <c r="ID154" s="99"/>
      <c r="IE154" s="99"/>
      <c r="IF154" s="99"/>
      <c r="IG154" s="99"/>
      <c r="IH154" s="99"/>
      <c r="II154" s="99"/>
      <c r="IJ154" s="99"/>
      <c r="IT154" s="112"/>
    </row>
    <row r="155" spans="1:254" ht="31.5">
      <c r="A155" s="117"/>
      <c r="B155" s="394" t="s">
        <v>520</v>
      </c>
      <c r="C155" s="532" t="s">
        <v>251</v>
      </c>
      <c r="D155" s="385" t="s">
        <v>570</v>
      </c>
      <c r="E155" s="418">
        <v>3.25</v>
      </c>
      <c r="F155" s="532" t="s">
        <v>549</v>
      </c>
      <c r="G155" s="534" t="s">
        <v>264</v>
      </c>
      <c r="H155" s="593">
        <v>3.25</v>
      </c>
      <c r="I155" s="534" t="s">
        <v>264</v>
      </c>
      <c r="J155" s="593">
        <v>3.25</v>
      </c>
      <c r="K155" s="534"/>
      <c r="L155" s="418"/>
      <c r="M155" s="534"/>
      <c r="N155" s="418"/>
      <c r="O155" s="263">
        <f>1.6*2*0.6+0.55*2*0.6+1.6*0.55-0.3*0.3-0.15*0.4*2</f>
        <v>3.25</v>
      </c>
      <c r="P155" s="263"/>
      <c r="Q155" s="263"/>
      <c r="R155" s="264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  <c r="AY155" s="99"/>
      <c r="AZ155" s="99"/>
      <c r="BA155" s="99"/>
      <c r="BB155" s="99"/>
      <c r="BC155" s="99"/>
      <c r="BD155" s="99"/>
      <c r="BE155" s="99"/>
      <c r="BF155" s="99"/>
      <c r="BG155" s="99"/>
      <c r="BH155" s="99"/>
      <c r="BI155" s="99"/>
      <c r="BJ155" s="99"/>
      <c r="BK155" s="99"/>
      <c r="BL155" s="99"/>
      <c r="BM155" s="99"/>
      <c r="BN155" s="99"/>
      <c r="BO155" s="99"/>
      <c r="BP155" s="99"/>
      <c r="BQ155" s="99"/>
      <c r="BR155" s="99"/>
      <c r="BS155" s="99"/>
      <c r="BT155" s="99"/>
      <c r="BU155" s="99"/>
      <c r="BV155" s="99"/>
      <c r="BW155" s="99"/>
      <c r="BX155" s="99"/>
      <c r="BY155" s="99"/>
      <c r="BZ155" s="99"/>
      <c r="CA155" s="99"/>
      <c r="CB155" s="99"/>
      <c r="CC155" s="99"/>
      <c r="CD155" s="99"/>
      <c r="CE155" s="99"/>
      <c r="CF155" s="99"/>
      <c r="CG155" s="99"/>
      <c r="CH155" s="99"/>
      <c r="CI155" s="99"/>
      <c r="CJ155" s="99"/>
      <c r="CK155" s="99"/>
      <c r="CL155" s="99"/>
      <c r="CM155" s="99"/>
      <c r="CN155" s="99"/>
      <c r="CO155" s="99"/>
      <c r="CP155" s="99"/>
      <c r="CQ155" s="99"/>
      <c r="CR155" s="99"/>
      <c r="CS155" s="99"/>
      <c r="CT155" s="99"/>
      <c r="CU155" s="99"/>
      <c r="CV155" s="99"/>
      <c r="CW155" s="99"/>
      <c r="CX155" s="99"/>
      <c r="CY155" s="99"/>
      <c r="CZ155" s="99"/>
      <c r="DA155" s="99"/>
      <c r="DB155" s="99"/>
      <c r="DC155" s="99"/>
      <c r="DD155" s="99"/>
      <c r="DE155" s="99"/>
      <c r="DF155" s="99"/>
      <c r="DG155" s="99"/>
      <c r="DH155" s="99"/>
      <c r="DI155" s="99"/>
      <c r="DJ155" s="99"/>
      <c r="DK155" s="99"/>
      <c r="DL155" s="99"/>
      <c r="DM155" s="99"/>
      <c r="DN155" s="99"/>
      <c r="DO155" s="99"/>
      <c r="DP155" s="99"/>
      <c r="DQ155" s="99"/>
      <c r="DR155" s="99"/>
      <c r="DS155" s="99"/>
      <c r="DT155" s="99"/>
      <c r="DU155" s="99"/>
      <c r="DV155" s="99"/>
      <c r="DW155" s="99"/>
      <c r="DX155" s="99"/>
      <c r="DY155" s="99"/>
      <c r="DZ155" s="99"/>
      <c r="EA155" s="99"/>
      <c r="EB155" s="99"/>
      <c r="EC155" s="99"/>
      <c r="ED155" s="99"/>
      <c r="EE155" s="99"/>
      <c r="EF155" s="99"/>
      <c r="EG155" s="99"/>
      <c r="EH155" s="99"/>
      <c r="EI155" s="99"/>
      <c r="EJ155" s="99"/>
      <c r="EK155" s="99"/>
      <c r="EL155" s="99"/>
      <c r="EM155" s="99"/>
      <c r="EN155" s="99"/>
      <c r="EO155" s="99"/>
      <c r="EP155" s="99"/>
      <c r="EQ155" s="99"/>
      <c r="ER155" s="99"/>
      <c r="ES155" s="99"/>
      <c r="ET155" s="99"/>
      <c r="EU155" s="99"/>
      <c r="EV155" s="99"/>
      <c r="EW155" s="99"/>
      <c r="EX155" s="99"/>
      <c r="EY155" s="99"/>
      <c r="EZ155" s="99"/>
      <c r="FA155" s="99"/>
      <c r="FB155" s="99"/>
      <c r="FC155" s="99"/>
      <c r="FD155" s="99"/>
      <c r="FE155" s="99"/>
      <c r="FF155" s="99"/>
      <c r="FG155" s="99"/>
      <c r="FH155" s="99"/>
      <c r="FI155" s="99"/>
      <c r="FJ155" s="99"/>
      <c r="FK155" s="99"/>
      <c r="FL155" s="99"/>
      <c r="FM155" s="99"/>
      <c r="FN155" s="99"/>
      <c r="FO155" s="99"/>
      <c r="FP155" s="99"/>
      <c r="FQ155" s="99"/>
      <c r="FR155" s="99"/>
      <c r="FS155" s="99"/>
      <c r="FT155" s="99"/>
      <c r="FU155" s="99"/>
      <c r="FV155" s="99"/>
      <c r="FW155" s="99"/>
      <c r="FX155" s="99"/>
      <c r="FY155" s="99"/>
      <c r="FZ155" s="99"/>
      <c r="GA155" s="99"/>
      <c r="GB155" s="99"/>
      <c r="GC155" s="99"/>
      <c r="GD155" s="99"/>
      <c r="GE155" s="99"/>
      <c r="GF155" s="99"/>
      <c r="GG155" s="99"/>
      <c r="GH155" s="99"/>
      <c r="GI155" s="99"/>
      <c r="GJ155" s="99"/>
      <c r="GK155" s="99"/>
      <c r="GL155" s="99"/>
      <c r="GM155" s="99"/>
      <c r="GN155" s="99"/>
      <c r="GO155" s="99"/>
      <c r="GP155" s="99"/>
      <c r="GQ155" s="99"/>
      <c r="GR155" s="99"/>
      <c r="GS155" s="99"/>
      <c r="GT155" s="99"/>
      <c r="GU155" s="99"/>
      <c r="GV155" s="99"/>
      <c r="GW155" s="99"/>
      <c r="GX155" s="99"/>
      <c r="GY155" s="99"/>
      <c r="GZ155" s="99"/>
      <c r="HA155" s="99"/>
      <c r="HB155" s="99"/>
      <c r="HC155" s="99"/>
      <c r="HD155" s="99"/>
      <c r="HE155" s="99"/>
      <c r="HF155" s="99"/>
      <c r="HG155" s="99"/>
      <c r="HH155" s="99"/>
      <c r="HI155" s="99"/>
      <c r="HJ155" s="99"/>
      <c r="HK155" s="99"/>
      <c r="HL155" s="99"/>
      <c r="HM155" s="99"/>
      <c r="HN155" s="99"/>
      <c r="HO155" s="99"/>
      <c r="HP155" s="99"/>
      <c r="HQ155" s="99"/>
      <c r="HR155" s="99"/>
      <c r="HS155" s="99"/>
      <c r="HT155" s="99"/>
      <c r="HU155" s="99"/>
      <c r="HV155" s="99"/>
      <c r="HW155" s="99"/>
      <c r="HX155" s="99"/>
      <c r="HY155" s="99"/>
      <c r="HZ155" s="99"/>
      <c r="IA155" s="99"/>
      <c r="IB155" s="99"/>
      <c r="IC155" s="99"/>
      <c r="ID155" s="99"/>
      <c r="IE155" s="99"/>
      <c r="IF155" s="99"/>
      <c r="IG155" s="99"/>
      <c r="IH155" s="99"/>
      <c r="II155" s="99"/>
      <c r="IJ155" s="99"/>
      <c r="IT155" s="112"/>
    </row>
    <row r="156" spans="1:254" ht="94.5">
      <c r="A156" s="117"/>
      <c r="B156" s="394" t="s">
        <v>521</v>
      </c>
      <c r="C156" s="535" t="s">
        <v>262</v>
      </c>
      <c r="D156" s="536" t="s">
        <v>570</v>
      </c>
      <c r="E156" s="537">
        <v>0.09</v>
      </c>
      <c r="F156" s="532" t="s">
        <v>549</v>
      </c>
      <c r="G156" s="538" t="s">
        <v>264</v>
      </c>
      <c r="H156" s="595">
        <v>0.09</v>
      </c>
      <c r="I156" s="538" t="s">
        <v>264</v>
      </c>
      <c r="J156" s="595">
        <v>0.09</v>
      </c>
      <c r="K156" s="537"/>
      <c r="L156" s="537"/>
      <c r="M156" s="537"/>
      <c r="N156" s="537"/>
      <c r="O156" s="263">
        <f>0.3*0.3</f>
        <v>0.09</v>
      </c>
      <c r="P156" s="263"/>
      <c r="Q156" s="263"/>
      <c r="R156" s="264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  <c r="AY156" s="99"/>
      <c r="AZ156" s="99"/>
      <c r="BA156" s="99"/>
      <c r="BB156" s="99"/>
      <c r="BC156" s="99"/>
      <c r="BD156" s="99"/>
      <c r="BE156" s="99"/>
      <c r="BF156" s="99"/>
      <c r="BG156" s="99"/>
      <c r="BH156" s="99"/>
      <c r="BI156" s="99"/>
      <c r="BJ156" s="99"/>
      <c r="BK156" s="99"/>
      <c r="BL156" s="99"/>
      <c r="BM156" s="99"/>
      <c r="BN156" s="99"/>
      <c r="BO156" s="99"/>
      <c r="BP156" s="99"/>
      <c r="BQ156" s="99"/>
      <c r="BR156" s="99"/>
      <c r="BS156" s="99"/>
      <c r="BT156" s="99"/>
      <c r="BU156" s="99"/>
      <c r="BV156" s="99"/>
      <c r="BW156" s="99"/>
      <c r="BX156" s="99"/>
      <c r="BY156" s="99"/>
      <c r="BZ156" s="99"/>
      <c r="CA156" s="99"/>
      <c r="CB156" s="99"/>
      <c r="CC156" s="99"/>
      <c r="CD156" s="99"/>
      <c r="CE156" s="99"/>
      <c r="CF156" s="99"/>
      <c r="CG156" s="99"/>
      <c r="CH156" s="99"/>
      <c r="CI156" s="99"/>
      <c r="CJ156" s="99"/>
      <c r="CK156" s="99"/>
      <c r="CL156" s="99"/>
      <c r="CM156" s="99"/>
      <c r="CN156" s="99"/>
      <c r="CO156" s="99"/>
      <c r="CP156" s="99"/>
      <c r="CQ156" s="99"/>
      <c r="CR156" s="99"/>
      <c r="CS156" s="99"/>
      <c r="CT156" s="99"/>
      <c r="CU156" s="99"/>
      <c r="CV156" s="99"/>
      <c r="CW156" s="99"/>
      <c r="CX156" s="99"/>
      <c r="CY156" s="99"/>
      <c r="CZ156" s="99"/>
      <c r="DA156" s="99"/>
      <c r="DB156" s="99"/>
      <c r="DC156" s="99"/>
      <c r="DD156" s="99"/>
      <c r="DE156" s="99"/>
      <c r="DF156" s="99"/>
      <c r="DG156" s="99"/>
      <c r="DH156" s="99"/>
      <c r="DI156" s="99"/>
      <c r="DJ156" s="99"/>
      <c r="DK156" s="99"/>
      <c r="DL156" s="99"/>
      <c r="DM156" s="99"/>
      <c r="DN156" s="99"/>
      <c r="DO156" s="99"/>
      <c r="DP156" s="99"/>
      <c r="DQ156" s="99"/>
      <c r="DR156" s="99"/>
      <c r="DS156" s="99"/>
      <c r="DT156" s="99"/>
      <c r="DU156" s="99"/>
      <c r="DV156" s="99"/>
      <c r="DW156" s="99"/>
      <c r="DX156" s="99"/>
      <c r="DY156" s="99"/>
      <c r="DZ156" s="99"/>
      <c r="EA156" s="99"/>
      <c r="EB156" s="99"/>
      <c r="EC156" s="99"/>
      <c r="ED156" s="99"/>
      <c r="EE156" s="99"/>
      <c r="EF156" s="99"/>
      <c r="EG156" s="99"/>
      <c r="EH156" s="99"/>
      <c r="EI156" s="99"/>
      <c r="EJ156" s="99"/>
      <c r="EK156" s="99"/>
      <c r="EL156" s="99"/>
      <c r="EM156" s="99"/>
      <c r="EN156" s="99"/>
      <c r="EO156" s="99"/>
      <c r="EP156" s="99"/>
      <c r="EQ156" s="99"/>
      <c r="ER156" s="99"/>
      <c r="ES156" s="99"/>
      <c r="ET156" s="99"/>
      <c r="EU156" s="99"/>
      <c r="EV156" s="99"/>
      <c r="EW156" s="99"/>
      <c r="EX156" s="99"/>
      <c r="EY156" s="99"/>
      <c r="EZ156" s="99"/>
      <c r="FA156" s="99"/>
      <c r="FB156" s="99"/>
      <c r="FC156" s="99"/>
      <c r="FD156" s="99"/>
      <c r="FE156" s="99"/>
      <c r="FF156" s="99"/>
      <c r="FG156" s="99"/>
      <c r="FH156" s="99"/>
      <c r="FI156" s="99"/>
      <c r="FJ156" s="99"/>
      <c r="FK156" s="99"/>
      <c r="FL156" s="99"/>
      <c r="FM156" s="99"/>
      <c r="FN156" s="99"/>
      <c r="FO156" s="99"/>
      <c r="FP156" s="99"/>
      <c r="FQ156" s="99"/>
      <c r="FR156" s="99"/>
      <c r="FS156" s="99"/>
      <c r="FT156" s="99"/>
      <c r="FU156" s="99"/>
      <c r="FV156" s="99"/>
      <c r="FW156" s="99"/>
      <c r="FX156" s="99"/>
      <c r="FY156" s="99"/>
      <c r="FZ156" s="99"/>
      <c r="GA156" s="99"/>
      <c r="GB156" s="99"/>
      <c r="GC156" s="99"/>
      <c r="GD156" s="99"/>
      <c r="GE156" s="99"/>
      <c r="GF156" s="99"/>
      <c r="GG156" s="99"/>
      <c r="GH156" s="99"/>
      <c r="GI156" s="99"/>
      <c r="GJ156" s="99"/>
      <c r="GK156" s="99"/>
      <c r="GL156" s="99"/>
      <c r="GM156" s="99"/>
      <c r="GN156" s="99"/>
      <c r="GO156" s="99"/>
      <c r="GP156" s="99"/>
      <c r="GQ156" s="99"/>
      <c r="GR156" s="99"/>
      <c r="GS156" s="99"/>
      <c r="GT156" s="99"/>
      <c r="GU156" s="99"/>
      <c r="GV156" s="99"/>
      <c r="GW156" s="99"/>
      <c r="GX156" s="99"/>
      <c r="GY156" s="99"/>
      <c r="GZ156" s="99"/>
      <c r="HA156" s="99"/>
      <c r="HB156" s="99"/>
      <c r="HC156" s="99"/>
      <c r="HD156" s="99"/>
      <c r="HE156" s="99"/>
      <c r="HF156" s="99"/>
      <c r="HG156" s="99"/>
      <c r="HH156" s="99"/>
      <c r="HI156" s="99"/>
      <c r="HJ156" s="99"/>
      <c r="HK156" s="99"/>
      <c r="HL156" s="99"/>
      <c r="HM156" s="99"/>
      <c r="HN156" s="99"/>
      <c r="HO156" s="99"/>
      <c r="HP156" s="99"/>
      <c r="HQ156" s="99"/>
      <c r="HR156" s="99"/>
      <c r="HS156" s="99"/>
      <c r="HT156" s="99"/>
      <c r="HU156" s="99"/>
      <c r="HV156" s="99"/>
      <c r="HW156" s="99"/>
      <c r="HX156" s="99"/>
      <c r="HY156" s="99"/>
      <c r="HZ156" s="99"/>
      <c r="IA156" s="99"/>
      <c r="IB156" s="99"/>
      <c r="IC156" s="99"/>
      <c r="ID156" s="99"/>
      <c r="IE156" s="99"/>
      <c r="IF156" s="99"/>
      <c r="IG156" s="99"/>
      <c r="IH156" s="99"/>
      <c r="II156" s="99"/>
      <c r="IJ156" s="99"/>
      <c r="IT156" s="112"/>
    </row>
    <row r="157" spans="1:254" ht="47.25">
      <c r="A157" s="117"/>
      <c r="B157" s="394" t="s">
        <v>522</v>
      </c>
      <c r="C157" s="532" t="s">
        <v>518</v>
      </c>
      <c r="D157" s="385" t="s">
        <v>141</v>
      </c>
      <c r="E157" s="418">
        <v>3.7999999999999999E-2</v>
      </c>
      <c r="F157" s="532" t="s">
        <v>547</v>
      </c>
      <c r="G157" s="418" t="s">
        <v>264</v>
      </c>
      <c r="H157" s="593">
        <v>3.7999999999999999E-2</v>
      </c>
      <c r="I157" s="418" t="s">
        <v>264</v>
      </c>
      <c r="J157" s="593">
        <v>3.7999999999999999E-2</v>
      </c>
      <c r="K157" s="418"/>
      <c r="L157" s="418"/>
      <c r="M157" s="418"/>
      <c r="N157" s="418"/>
      <c r="O157" s="130">
        <f>(2*10.15+8.31*1+1*7.39+2*0.97)/1000</f>
        <v>3.7939999999999995E-2</v>
      </c>
      <c r="P157" s="263"/>
      <c r="Q157" s="263"/>
      <c r="R157" s="264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  <c r="AY157" s="99"/>
      <c r="AZ157" s="99"/>
      <c r="BA157" s="99"/>
      <c r="BB157" s="99"/>
      <c r="BC157" s="99"/>
      <c r="BD157" s="99"/>
      <c r="BE157" s="99"/>
      <c r="BF157" s="99"/>
      <c r="BG157" s="99"/>
      <c r="BH157" s="99"/>
      <c r="BI157" s="99"/>
      <c r="BJ157" s="99"/>
      <c r="BK157" s="99"/>
      <c r="BL157" s="99"/>
      <c r="BM157" s="99"/>
      <c r="BN157" s="99"/>
      <c r="BO157" s="99"/>
      <c r="BP157" s="99"/>
      <c r="BQ157" s="99"/>
      <c r="BR157" s="99"/>
      <c r="BS157" s="99"/>
      <c r="BT157" s="99"/>
      <c r="BU157" s="99"/>
      <c r="BV157" s="99"/>
      <c r="BW157" s="99"/>
      <c r="BX157" s="99"/>
      <c r="BY157" s="99"/>
      <c r="BZ157" s="99"/>
      <c r="CA157" s="99"/>
      <c r="CB157" s="99"/>
      <c r="CC157" s="99"/>
      <c r="CD157" s="99"/>
      <c r="CE157" s="99"/>
      <c r="CF157" s="99"/>
      <c r="CG157" s="99"/>
      <c r="CH157" s="99"/>
      <c r="CI157" s="99"/>
      <c r="CJ157" s="99"/>
      <c r="CK157" s="99"/>
      <c r="CL157" s="99"/>
      <c r="CM157" s="99"/>
      <c r="CN157" s="99"/>
      <c r="CO157" s="99"/>
      <c r="CP157" s="99"/>
      <c r="CQ157" s="99"/>
      <c r="CR157" s="99"/>
      <c r="CS157" s="99"/>
      <c r="CT157" s="99"/>
      <c r="CU157" s="99"/>
      <c r="CV157" s="99"/>
      <c r="CW157" s="99"/>
      <c r="CX157" s="99"/>
      <c r="CY157" s="99"/>
      <c r="CZ157" s="99"/>
      <c r="DA157" s="99"/>
      <c r="DB157" s="99"/>
      <c r="DC157" s="99"/>
      <c r="DD157" s="99"/>
      <c r="DE157" s="99"/>
      <c r="DF157" s="99"/>
      <c r="DG157" s="99"/>
      <c r="DH157" s="99"/>
      <c r="DI157" s="99"/>
      <c r="DJ157" s="99"/>
      <c r="DK157" s="99"/>
      <c r="DL157" s="99"/>
      <c r="DM157" s="99"/>
      <c r="DN157" s="99"/>
      <c r="DO157" s="99"/>
      <c r="DP157" s="99"/>
      <c r="DQ157" s="99"/>
      <c r="DR157" s="99"/>
      <c r="DS157" s="99"/>
      <c r="DT157" s="99"/>
      <c r="DU157" s="99"/>
      <c r="DV157" s="99"/>
      <c r="DW157" s="99"/>
      <c r="DX157" s="99"/>
      <c r="DY157" s="99"/>
      <c r="DZ157" s="99"/>
      <c r="EA157" s="99"/>
      <c r="EB157" s="99"/>
      <c r="EC157" s="99"/>
      <c r="ED157" s="99"/>
      <c r="EE157" s="99"/>
      <c r="EF157" s="99"/>
      <c r="EG157" s="99"/>
      <c r="EH157" s="99"/>
      <c r="EI157" s="99"/>
      <c r="EJ157" s="99"/>
      <c r="EK157" s="99"/>
      <c r="EL157" s="99"/>
      <c r="EM157" s="99"/>
      <c r="EN157" s="99"/>
      <c r="EO157" s="99"/>
      <c r="EP157" s="99"/>
      <c r="EQ157" s="99"/>
      <c r="ER157" s="99"/>
      <c r="ES157" s="99"/>
      <c r="ET157" s="99"/>
      <c r="EU157" s="99"/>
      <c r="EV157" s="99"/>
      <c r="EW157" s="99"/>
      <c r="EX157" s="99"/>
      <c r="EY157" s="99"/>
      <c r="EZ157" s="99"/>
      <c r="FA157" s="99"/>
      <c r="FB157" s="99"/>
      <c r="FC157" s="99"/>
      <c r="FD157" s="99"/>
      <c r="FE157" s="99"/>
      <c r="FF157" s="99"/>
      <c r="FG157" s="99"/>
      <c r="FH157" s="99"/>
      <c r="FI157" s="99"/>
      <c r="FJ157" s="99"/>
      <c r="FK157" s="99"/>
      <c r="FL157" s="99"/>
      <c r="FM157" s="99"/>
      <c r="FN157" s="99"/>
      <c r="FO157" s="99"/>
      <c r="FP157" s="99"/>
      <c r="FQ157" s="99"/>
      <c r="FR157" s="99"/>
      <c r="FS157" s="99"/>
      <c r="FT157" s="99"/>
      <c r="FU157" s="99"/>
      <c r="FV157" s="99"/>
      <c r="FW157" s="99"/>
      <c r="FX157" s="99"/>
      <c r="FY157" s="99"/>
      <c r="FZ157" s="99"/>
      <c r="GA157" s="99"/>
      <c r="GB157" s="99"/>
      <c r="GC157" s="99"/>
      <c r="GD157" s="99"/>
      <c r="GE157" s="99"/>
      <c r="GF157" s="99"/>
      <c r="GG157" s="99"/>
      <c r="GH157" s="99"/>
      <c r="GI157" s="99"/>
      <c r="GJ157" s="99"/>
      <c r="GK157" s="99"/>
      <c r="GL157" s="99"/>
      <c r="GM157" s="99"/>
      <c r="GN157" s="99"/>
      <c r="GO157" s="99"/>
      <c r="GP157" s="99"/>
      <c r="GQ157" s="99"/>
      <c r="GR157" s="99"/>
      <c r="GS157" s="99"/>
      <c r="GT157" s="99"/>
      <c r="GU157" s="99"/>
      <c r="GV157" s="99"/>
      <c r="GW157" s="99"/>
      <c r="GX157" s="99"/>
      <c r="GY157" s="99"/>
      <c r="GZ157" s="99"/>
      <c r="HA157" s="99"/>
      <c r="HB157" s="99"/>
      <c r="HC157" s="99"/>
      <c r="HD157" s="99"/>
      <c r="HE157" s="99"/>
      <c r="HF157" s="99"/>
      <c r="HG157" s="99"/>
      <c r="HH157" s="99"/>
      <c r="HI157" s="99"/>
      <c r="HJ157" s="99"/>
      <c r="HK157" s="99"/>
      <c r="HL157" s="99"/>
      <c r="HM157" s="99"/>
      <c r="HN157" s="99"/>
      <c r="HO157" s="99"/>
      <c r="HP157" s="99"/>
      <c r="HQ157" s="99"/>
      <c r="HR157" s="99"/>
      <c r="HS157" s="99"/>
      <c r="HT157" s="99"/>
      <c r="HU157" s="99"/>
      <c r="HV157" s="99"/>
      <c r="HW157" s="99"/>
      <c r="HX157" s="99"/>
      <c r="HY157" s="99"/>
      <c r="HZ157" s="99"/>
      <c r="IA157" s="99"/>
      <c r="IB157" s="99"/>
      <c r="IC157" s="99"/>
      <c r="ID157" s="99"/>
      <c r="IE157" s="99"/>
      <c r="IF157" s="99"/>
      <c r="IG157" s="99"/>
      <c r="IH157" s="99"/>
      <c r="II157" s="99"/>
      <c r="IJ157" s="99"/>
      <c r="IT157" s="112"/>
    </row>
    <row r="158" spans="1:254" ht="32.25" thickBot="1">
      <c r="A158" s="117"/>
      <c r="B158" s="394" t="s">
        <v>525</v>
      </c>
      <c r="C158" s="532" t="s">
        <v>526</v>
      </c>
      <c r="D158" s="385" t="s">
        <v>571</v>
      </c>
      <c r="E158" s="418" t="s">
        <v>550</v>
      </c>
      <c r="F158" s="532" t="s">
        <v>547</v>
      </c>
      <c r="G158" s="597" t="s">
        <v>557</v>
      </c>
      <c r="H158" s="593" t="s">
        <v>550</v>
      </c>
      <c r="I158" s="597" t="s">
        <v>557</v>
      </c>
      <c r="J158" s="593" t="s">
        <v>550</v>
      </c>
      <c r="K158" s="418"/>
      <c r="L158" s="418"/>
      <c r="M158" s="418"/>
      <c r="N158" s="418"/>
      <c r="O158" s="130">
        <f>(2*10.15+8.31*1+1*7.39+2*0.97)/1000</f>
        <v>3.7939999999999995E-2</v>
      </c>
      <c r="P158" s="263"/>
      <c r="Q158" s="263"/>
      <c r="R158" s="264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T158" s="99"/>
      <c r="BU158" s="99"/>
      <c r="BV158" s="99"/>
      <c r="BW158" s="99"/>
      <c r="BX158" s="99"/>
      <c r="BY158" s="99"/>
      <c r="BZ158" s="99"/>
      <c r="CA158" s="99"/>
      <c r="CB158" s="99"/>
      <c r="CC158" s="99"/>
      <c r="CD158" s="99"/>
      <c r="CE158" s="99"/>
      <c r="CF158" s="99"/>
      <c r="CG158" s="99"/>
      <c r="CH158" s="99"/>
      <c r="CI158" s="99"/>
      <c r="CJ158" s="99"/>
      <c r="CK158" s="99"/>
      <c r="CL158" s="99"/>
      <c r="CM158" s="99"/>
      <c r="CN158" s="99"/>
      <c r="CO158" s="99"/>
      <c r="CP158" s="99"/>
      <c r="CQ158" s="99"/>
      <c r="CR158" s="99"/>
      <c r="CS158" s="99"/>
      <c r="CT158" s="99"/>
      <c r="CU158" s="99"/>
      <c r="CV158" s="99"/>
      <c r="CW158" s="99"/>
      <c r="CX158" s="99"/>
      <c r="CY158" s="99"/>
      <c r="CZ158" s="99"/>
      <c r="DA158" s="99"/>
      <c r="DB158" s="99"/>
      <c r="DC158" s="99"/>
      <c r="DD158" s="99"/>
      <c r="DE158" s="99"/>
      <c r="DF158" s="99"/>
      <c r="DG158" s="99"/>
      <c r="DH158" s="99"/>
      <c r="DI158" s="99"/>
      <c r="DJ158" s="99"/>
      <c r="DK158" s="99"/>
      <c r="DL158" s="99"/>
      <c r="DM158" s="99"/>
      <c r="DN158" s="99"/>
      <c r="DO158" s="99"/>
      <c r="DP158" s="99"/>
      <c r="DQ158" s="99"/>
      <c r="DR158" s="99"/>
      <c r="DS158" s="99"/>
      <c r="DT158" s="99"/>
      <c r="DU158" s="99"/>
      <c r="DV158" s="99"/>
      <c r="DW158" s="99"/>
      <c r="DX158" s="99"/>
      <c r="DY158" s="99"/>
      <c r="DZ158" s="99"/>
      <c r="EA158" s="99"/>
      <c r="EB158" s="99"/>
      <c r="EC158" s="99"/>
      <c r="ED158" s="99"/>
      <c r="EE158" s="99"/>
      <c r="EF158" s="99"/>
      <c r="EG158" s="99"/>
      <c r="EH158" s="99"/>
      <c r="EI158" s="99"/>
      <c r="EJ158" s="99"/>
      <c r="EK158" s="99"/>
      <c r="EL158" s="99"/>
      <c r="EM158" s="99"/>
      <c r="EN158" s="99"/>
      <c r="EO158" s="99"/>
      <c r="EP158" s="99"/>
      <c r="EQ158" s="99"/>
      <c r="ER158" s="99"/>
      <c r="ES158" s="99"/>
      <c r="ET158" s="99"/>
      <c r="EU158" s="99"/>
      <c r="EV158" s="99"/>
      <c r="EW158" s="99"/>
      <c r="EX158" s="99"/>
      <c r="EY158" s="99"/>
      <c r="EZ158" s="99"/>
      <c r="FA158" s="99"/>
      <c r="FB158" s="99"/>
      <c r="FC158" s="99"/>
      <c r="FD158" s="99"/>
      <c r="FE158" s="99"/>
      <c r="FF158" s="99"/>
      <c r="FG158" s="99"/>
      <c r="FH158" s="99"/>
      <c r="FI158" s="99"/>
      <c r="FJ158" s="99"/>
      <c r="FK158" s="99"/>
      <c r="FL158" s="99"/>
      <c r="FM158" s="99"/>
      <c r="FN158" s="99"/>
      <c r="FO158" s="99"/>
      <c r="FP158" s="99"/>
      <c r="FQ158" s="99"/>
      <c r="FR158" s="99"/>
      <c r="FS158" s="99"/>
      <c r="FT158" s="99"/>
      <c r="FU158" s="99"/>
      <c r="FV158" s="99"/>
      <c r="FW158" s="99"/>
      <c r="FX158" s="99"/>
      <c r="FY158" s="99"/>
      <c r="FZ158" s="99"/>
      <c r="GA158" s="99"/>
      <c r="GB158" s="99"/>
      <c r="GC158" s="99"/>
      <c r="GD158" s="99"/>
      <c r="GE158" s="99"/>
      <c r="GF158" s="99"/>
      <c r="GG158" s="99"/>
      <c r="GH158" s="99"/>
      <c r="GI158" s="99"/>
      <c r="GJ158" s="99"/>
      <c r="GK158" s="99"/>
      <c r="GL158" s="99"/>
      <c r="GM158" s="99"/>
      <c r="GN158" s="99"/>
      <c r="GO158" s="99"/>
      <c r="GP158" s="99"/>
      <c r="GQ158" s="99"/>
      <c r="GR158" s="99"/>
      <c r="GS158" s="99"/>
      <c r="GT158" s="99"/>
      <c r="GU158" s="99"/>
      <c r="GV158" s="99"/>
      <c r="GW158" s="99"/>
      <c r="GX158" s="99"/>
      <c r="GY158" s="99"/>
      <c r="GZ158" s="99"/>
      <c r="HA158" s="99"/>
      <c r="HB158" s="99"/>
      <c r="HC158" s="99"/>
      <c r="HD158" s="99"/>
      <c r="HE158" s="99"/>
      <c r="HF158" s="99"/>
      <c r="HG158" s="99"/>
      <c r="HH158" s="99"/>
      <c r="HI158" s="99"/>
      <c r="HJ158" s="99"/>
      <c r="HK158" s="99"/>
      <c r="HL158" s="99"/>
      <c r="HM158" s="99"/>
      <c r="HN158" s="99"/>
      <c r="HO158" s="99"/>
      <c r="HP158" s="99"/>
      <c r="HQ158" s="99"/>
      <c r="HR158" s="99"/>
      <c r="HS158" s="99"/>
      <c r="HT158" s="99"/>
      <c r="HU158" s="99"/>
      <c r="HV158" s="99"/>
      <c r="HW158" s="99"/>
      <c r="HX158" s="99"/>
      <c r="HY158" s="99"/>
      <c r="HZ158" s="99"/>
      <c r="IA158" s="99"/>
      <c r="IB158" s="99"/>
      <c r="IC158" s="99"/>
      <c r="ID158" s="99"/>
      <c r="IE158" s="99"/>
      <c r="IF158" s="99"/>
      <c r="IG158" s="99"/>
      <c r="IH158" s="99"/>
      <c r="II158" s="99"/>
      <c r="IJ158" s="99"/>
      <c r="IT158" s="112"/>
    </row>
    <row r="159" spans="1:254" ht="32.25" thickBot="1">
      <c r="A159" s="117"/>
      <c r="B159" s="218"/>
      <c r="C159" s="205" t="s">
        <v>282</v>
      </c>
      <c r="D159" s="218"/>
      <c r="E159" s="221"/>
      <c r="F159" s="219"/>
      <c r="G159" s="220"/>
      <c r="H159" s="596"/>
      <c r="I159" s="220"/>
      <c r="J159" s="596"/>
      <c r="K159" s="220"/>
      <c r="L159" s="221"/>
      <c r="M159" s="220"/>
      <c r="N159" s="221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T159" s="99"/>
      <c r="BU159" s="99"/>
      <c r="BV159" s="99"/>
      <c r="BW159" s="99"/>
      <c r="BX159" s="99"/>
      <c r="BY159" s="99"/>
      <c r="BZ159" s="99"/>
      <c r="CA159" s="99"/>
      <c r="CB159" s="99"/>
      <c r="CC159" s="99"/>
      <c r="CD159" s="99"/>
      <c r="CE159" s="99"/>
      <c r="CF159" s="99"/>
      <c r="CG159" s="99"/>
      <c r="CH159" s="99"/>
      <c r="CI159" s="99"/>
      <c r="CJ159" s="99"/>
      <c r="CK159" s="99"/>
      <c r="CL159" s="99"/>
      <c r="CM159" s="99"/>
      <c r="CN159" s="99"/>
      <c r="CO159" s="99"/>
      <c r="CP159" s="99"/>
      <c r="CQ159" s="99"/>
      <c r="CR159" s="99"/>
      <c r="CS159" s="99"/>
      <c r="CT159" s="99"/>
      <c r="CU159" s="99"/>
      <c r="CV159" s="99"/>
      <c r="CW159" s="99"/>
      <c r="CX159" s="99"/>
      <c r="CY159" s="99"/>
      <c r="CZ159" s="99"/>
      <c r="DA159" s="99"/>
      <c r="DB159" s="99"/>
      <c r="DC159" s="99"/>
      <c r="DD159" s="99"/>
      <c r="DE159" s="99"/>
      <c r="DF159" s="99"/>
      <c r="DG159" s="99"/>
      <c r="DH159" s="99"/>
      <c r="DI159" s="99"/>
      <c r="DJ159" s="99"/>
      <c r="DK159" s="99"/>
      <c r="DL159" s="99"/>
      <c r="DM159" s="99"/>
      <c r="DN159" s="99"/>
      <c r="DO159" s="99"/>
      <c r="DP159" s="99"/>
      <c r="DQ159" s="99"/>
      <c r="DR159" s="99"/>
      <c r="DS159" s="99"/>
      <c r="DT159" s="99"/>
      <c r="DU159" s="99"/>
      <c r="DV159" s="99"/>
      <c r="DW159" s="99"/>
      <c r="DX159" s="99"/>
      <c r="DY159" s="99"/>
      <c r="DZ159" s="99"/>
      <c r="EA159" s="99"/>
      <c r="EB159" s="99"/>
      <c r="EC159" s="99"/>
      <c r="ED159" s="99"/>
      <c r="EE159" s="99"/>
      <c r="EF159" s="99"/>
      <c r="EG159" s="99"/>
      <c r="EH159" s="99"/>
      <c r="EI159" s="99"/>
      <c r="EJ159" s="99"/>
      <c r="EK159" s="99"/>
      <c r="EL159" s="99"/>
      <c r="EM159" s="99"/>
      <c r="EN159" s="99"/>
      <c r="EO159" s="99"/>
      <c r="EP159" s="99"/>
      <c r="EQ159" s="99"/>
      <c r="ER159" s="99"/>
      <c r="ES159" s="99"/>
      <c r="ET159" s="99"/>
      <c r="EU159" s="99"/>
      <c r="EV159" s="99"/>
      <c r="EW159" s="99"/>
      <c r="EX159" s="99"/>
      <c r="EY159" s="99"/>
      <c r="EZ159" s="99"/>
      <c r="FA159" s="99"/>
      <c r="FB159" s="99"/>
      <c r="FC159" s="99"/>
      <c r="FD159" s="99"/>
      <c r="FE159" s="99"/>
      <c r="FF159" s="99"/>
      <c r="FG159" s="99"/>
      <c r="FH159" s="99"/>
      <c r="FI159" s="99"/>
      <c r="FJ159" s="99"/>
      <c r="FK159" s="99"/>
      <c r="FL159" s="99"/>
      <c r="FM159" s="99"/>
      <c r="FN159" s="99"/>
      <c r="FO159" s="99"/>
      <c r="FP159" s="99"/>
      <c r="FQ159" s="99"/>
      <c r="FR159" s="99"/>
      <c r="FS159" s="99"/>
      <c r="FT159" s="99"/>
      <c r="FU159" s="99"/>
      <c r="FV159" s="99"/>
      <c r="FW159" s="99"/>
      <c r="FX159" s="99"/>
      <c r="FY159" s="99"/>
      <c r="FZ159" s="99"/>
      <c r="GA159" s="99"/>
      <c r="GB159" s="99"/>
      <c r="GC159" s="99"/>
      <c r="GD159" s="99"/>
      <c r="GE159" s="99"/>
      <c r="GF159" s="99"/>
      <c r="GG159" s="99"/>
      <c r="GH159" s="99"/>
      <c r="GI159" s="99"/>
      <c r="GJ159" s="99"/>
      <c r="GK159" s="99"/>
      <c r="GL159" s="99"/>
      <c r="GM159" s="99"/>
      <c r="GN159" s="99"/>
      <c r="GO159" s="99"/>
      <c r="GP159" s="99"/>
      <c r="GQ159" s="99"/>
      <c r="GR159" s="99"/>
      <c r="GS159" s="99"/>
      <c r="GT159" s="99"/>
      <c r="GU159" s="99"/>
      <c r="GV159" s="99"/>
      <c r="GW159" s="99"/>
      <c r="GX159" s="99"/>
      <c r="GY159" s="99"/>
      <c r="GZ159" s="99"/>
      <c r="HA159" s="99"/>
      <c r="HB159" s="99"/>
      <c r="HC159" s="99"/>
      <c r="HD159" s="99"/>
      <c r="HE159" s="99"/>
      <c r="HF159" s="99"/>
      <c r="HG159" s="99"/>
      <c r="HH159" s="99"/>
      <c r="HI159" s="99"/>
      <c r="HJ159" s="99"/>
      <c r="HK159" s="99"/>
      <c r="HL159" s="99"/>
      <c r="HM159" s="99"/>
      <c r="HN159" s="99"/>
      <c r="HO159" s="99"/>
      <c r="HP159" s="99"/>
      <c r="HQ159" s="99"/>
      <c r="HR159" s="99"/>
      <c r="HS159" s="99"/>
      <c r="HT159" s="99"/>
      <c r="HU159" s="99"/>
      <c r="HV159" s="99"/>
      <c r="HW159" s="99"/>
      <c r="HX159" s="99"/>
      <c r="HY159" s="99"/>
      <c r="HZ159" s="99"/>
      <c r="IA159" s="99"/>
      <c r="IB159" s="99"/>
      <c r="IC159" s="99"/>
      <c r="ID159" s="99"/>
      <c r="IE159" s="99"/>
      <c r="IF159" s="99"/>
      <c r="IG159" s="99"/>
      <c r="IH159" s="99"/>
      <c r="II159" s="99"/>
      <c r="IJ159" s="99"/>
    </row>
    <row r="160" spans="1:254" ht="18.75">
      <c r="A160" s="117"/>
      <c r="B160" s="186" t="s">
        <v>283</v>
      </c>
      <c r="C160" s="208" t="s">
        <v>234</v>
      </c>
      <c r="D160" s="136" t="s">
        <v>560</v>
      </c>
      <c r="E160" s="223">
        <v>0.05</v>
      </c>
      <c r="F160" s="186"/>
      <c r="G160" s="222" t="s">
        <v>264</v>
      </c>
      <c r="H160" s="590">
        <v>0.05</v>
      </c>
      <c r="I160" s="222" t="s">
        <v>264</v>
      </c>
      <c r="J160" s="590">
        <v>0.05</v>
      </c>
      <c r="K160" s="222"/>
      <c r="L160" s="223"/>
      <c r="M160" s="222"/>
      <c r="N160" s="223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T160" s="99"/>
      <c r="BU160" s="99"/>
      <c r="BV160" s="99"/>
      <c r="BW160" s="99"/>
      <c r="BX160" s="99"/>
      <c r="BY160" s="99"/>
      <c r="BZ160" s="99"/>
      <c r="CA160" s="99"/>
      <c r="CB160" s="99"/>
      <c r="CC160" s="99"/>
      <c r="CD160" s="99"/>
      <c r="CE160" s="99"/>
      <c r="CF160" s="99"/>
      <c r="CG160" s="99"/>
      <c r="CH160" s="99"/>
      <c r="CI160" s="99"/>
      <c r="CJ160" s="99"/>
      <c r="CK160" s="99"/>
      <c r="CL160" s="99"/>
      <c r="CM160" s="99"/>
      <c r="CN160" s="99"/>
      <c r="CO160" s="99"/>
      <c r="CP160" s="99"/>
      <c r="CQ160" s="99"/>
      <c r="CR160" s="99"/>
      <c r="CS160" s="99"/>
      <c r="CT160" s="99"/>
      <c r="CU160" s="99"/>
      <c r="CV160" s="99"/>
      <c r="CW160" s="99"/>
      <c r="CX160" s="99"/>
      <c r="CY160" s="99"/>
      <c r="CZ160" s="99"/>
      <c r="DA160" s="99"/>
      <c r="DB160" s="99"/>
      <c r="DC160" s="99"/>
      <c r="DD160" s="99"/>
      <c r="DE160" s="99"/>
      <c r="DF160" s="99"/>
      <c r="DG160" s="99"/>
      <c r="DH160" s="99"/>
      <c r="DI160" s="99"/>
      <c r="DJ160" s="99"/>
      <c r="DK160" s="99"/>
      <c r="DL160" s="99"/>
      <c r="DM160" s="99"/>
      <c r="DN160" s="99"/>
      <c r="DO160" s="99"/>
      <c r="DP160" s="99"/>
      <c r="DQ160" s="99"/>
      <c r="DR160" s="99"/>
      <c r="DS160" s="99"/>
      <c r="DT160" s="99"/>
      <c r="DU160" s="99"/>
      <c r="DV160" s="99"/>
      <c r="DW160" s="99"/>
      <c r="DX160" s="99"/>
      <c r="DY160" s="99"/>
      <c r="DZ160" s="99"/>
      <c r="EA160" s="99"/>
      <c r="EB160" s="99"/>
      <c r="EC160" s="99"/>
      <c r="ED160" s="99"/>
      <c r="EE160" s="99"/>
      <c r="EF160" s="99"/>
      <c r="EG160" s="99"/>
      <c r="EH160" s="99"/>
      <c r="EI160" s="99"/>
      <c r="EJ160" s="99"/>
      <c r="EK160" s="99"/>
      <c r="EL160" s="99"/>
      <c r="EM160" s="99"/>
      <c r="EN160" s="99"/>
      <c r="EO160" s="99"/>
      <c r="EP160" s="99"/>
      <c r="EQ160" s="99"/>
      <c r="ER160" s="99"/>
      <c r="ES160" s="99"/>
      <c r="ET160" s="99"/>
      <c r="EU160" s="99"/>
      <c r="EV160" s="99"/>
      <c r="EW160" s="99"/>
      <c r="EX160" s="99"/>
      <c r="EY160" s="99"/>
      <c r="EZ160" s="99"/>
      <c r="FA160" s="99"/>
      <c r="FB160" s="99"/>
      <c r="FC160" s="99"/>
      <c r="FD160" s="99"/>
      <c r="FE160" s="99"/>
      <c r="FF160" s="99"/>
      <c r="FG160" s="99"/>
      <c r="FH160" s="99"/>
      <c r="FI160" s="99"/>
      <c r="FJ160" s="99"/>
      <c r="FK160" s="99"/>
      <c r="FL160" s="99"/>
      <c r="FM160" s="99"/>
      <c r="FN160" s="99"/>
      <c r="FO160" s="99"/>
      <c r="FP160" s="99"/>
      <c r="FQ160" s="99"/>
      <c r="FR160" s="99"/>
      <c r="FS160" s="99"/>
      <c r="FT160" s="99"/>
      <c r="FU160" s="99"/>
      <c r="FV160" s="99"/>
      <c r="FW160" s="99"/>
      <c r="FX160" s="99"/>
      <c r="FY160" s="99"/>
      <c r="FZ160" s="99"/>
      <c r="GA160" s="99"/>
      <c r="GB160" s="99"/>
      <c r="GC160" s="99"/>
      <c r="GD160" s="99"/>
      <c r="GE160" s="99"/>
      <c r="GF160" s="99"/>
      <c r="GG160" s="99"/>
      <c r="GH160" s="99"/>
      <c r="GI160" s="99"/>
      <c r="GJ160" s="99"/>
      <c r="GK160" s="99"/>
      <c r="GL160" s="99"/>
      <c r="GM160" s="99"/>
      <c r="GN160" s="99"/>
      <c r="GO160" s="99"/>
      <c r="GP160" s="99"/>
      <c r="GQ160" s="99"/>
      <c r="GR160" s="99"/>
      <c r="GS160" s="99"/>
      <c r="GT160" s="99"/>
      <c r="GU160" s="99"/>
      <c r="GV160" s="99"/>
      <c r="GW160" s="99"/>
      <c r="GX160" s="99"/>
      <c r="GY160" s="99"/>
      <c r="GZ160" s="99"/>
      <c r="HA160" s="99"/>
      <c r="HB160" s="99"/>
      <c r="HC160" s="99"/>
      <c r="HD160" s="99"/>
      <c r="HE160" s="99"/>
      <c r="HF160" s="99"/>
      <c r="HG160" s="99"/>
      <c r="HH160" s="99"/>
      <c r="HI160" s="99"/>
      <c r="HJ160" s="99"/>
      <c r="HK160" s="99"/>
      <c r="HL160" s="99"/>
      <c r="HM160" s="99"/>
      <c r="HN160" s="99"/>
      <c r="HO160" s="99"/>
      <c r="HP160" s="99"/>
      <c r="HQ160" s="99"/>
      <c r="HR160" s="99"/>
      <c r="HS160" s="99"/>
      <c r="HT160" s="99"/>
      <c r="HU160" s="99"/>
      <c r="HV160" s="99"/>
      <c r="HW160" s="99"/>
      <c r="HX160" s="99"/>
      <c r="HY160" s="99"/>
      <c r="HZ160" s="99"/>
      <c r="IA160" s="99"/>
      <c r="IB160" s="99"/>
      <c r="IC160" s="99"/>
      <c r="ID160" s="99"/>
      <c r="IE160" s="99"/>
      <c r="IF160" s="99"/>
      <c r="IG160" s="99"/>
      <c r="IH160" s="99"/>
      <c r="II160" s="99"/>
      <c r="IJ160" s="99"/>
    </row>
    <row r="161" spans="1:254">
      <c r="A161" s="117"/>
      <c r="B161" s="186" t="s">
        <v>284</v>
      </c>
      <c r="C161" s="224" t="s">
        <v>295</v>
      </c>
      <c r="D161" s="137" t="s">
        <v>279</v>
      </c>
      <c r="E161" s="138" t="s">
        <v>280</v>
      </c>
      <c r="F161" s="225"/>
      <c r="G161" s="284" t="s">
        <v>557</v>
      </c>
      <c r="H161" s="593" t="s">
        <v>280</v>
      </c>
      <c r="I161" s="284" t="s">
        <v>557</v>
      </c>
      <c r="J161" s="593" t="s">
        <v>280</v>
      </c>
      <c r="K161" s="284"/>
      <c r="L161" s="138"/>
      <c r="M161" s="284"/>
      <c r="N161" s="138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T161" s="99"/>
      <c r="BU161" s="99"/>
      <c r="BV161" s="99"/>
      <c r="BW161" s="99"/>
      <c r="BX161" s="99"/>
      <c r="BY161" s="99"/>
      <c r="BZ161" s="99"/>
      <c r="CA161" s="99"/>
      <c r="CB161" s="99"/>
      <c r="CC161" s="99"/>
      <c r="CD161" s="99"/>
      <c r="CE161" s="99"/>
      <c r="CF161" s="99"/>
      <c r="CG161" s="99"/>
      <c r="CH161" s="99"/>
      <c r="CI161" s="99"/>
      <c r="CJ161" s="99"/>
      <c r="CK161" s="99"/>
      <c r="CL161" s="99"/>
      <c r="CM161" s="99"/>
      <c r="CN161" s="99"/>
      <c r="CO161" s="99"/>
      <c r="CP161" s="99"/>
      <c r="CQ161" s="99"/>
      <c r="CR161" s="99"/>
      <c r="CS161" s="99"/>
      <c r="CT161" s="99"/>
      <c r="CU161" s="99"/>
      <c r="CV161" s="99"/>
      <c r="CW161" s="99"/>
      <c r="CX161" s="99"/>
      <c r="CY161" s="99"/>
      <c r="CZ161" s="99"/>
      <c r="DA161" s="99"/>
      <c r="DB161" s="99"/>
      <c r="DC161" s="99"/>
      <c r="DD161" s="99"/>
      <c r="DE161" s="99"/>
      <c r="DF161" s="99"/>
      <c r="DG161" s="99"/>
      <c r="DH161" s="99"/>
      <c r="DI161" s="99"/>
      <c r="DJ161" s="99"/>
      <c r="DK161" s="99"/>
      <c r="DL161" s="99"/>
      <c r="DM161" s="99"/>
      <c r="DN161" s="99"/>
      <c r="DO161" s="99"/>
      <c r="DP161" s="99"/>
      <c r="DQ161" s="99"/>
      <c r="DR161" s="99"/>
      <c r="DS161" s="99"/>
      <c r="DT161" s="99"/>
      <c r="DU161" s="99"/>
      <c r="DV161" s="99"/>
      <c r="DW161" s="99"/>
      <c r="DX161" s="99"/>
      <c r="DY161" s="99"/>
      <c r="DZ161" s="99"/>
      <c r="EA161" s="99"/>
      <c r="EB161" s="99"/>
      <c r="EC161" s="99"/>
      <c r="ED161" s="99"/>
      <c r="EE161" s="99"/>
      <c r="EF161" s="99"/>
      <c r="EG161" s="99"/>
      <c r="EH161" s="99"/>
      <c r="EI161" s="99"/>
      <c r="EJ161" s="99"/>
      <c r="EK161" s="99"/>
      <c r="EL161" s="99"/>
      <c r="EM161" s="99"/>
      <c r="EN161" s="99"/>
      <c r="EO161" s="99"/>
      <c r="EP161" s="99"/>
      <c r="EQ161" s="99"/>
      <c r="ER161" s="99"/>
      <c r="ES161" s="99"/>
      <c r="ET161" s="99"/>
      <c r="EU161" s="99"/>
      <c r="EV161" s="99"/>
      <c r="EW161" s="99"/>
      <c r="EX161" s="99"/>
      <c r="EY161" s="99"/>
      <c r="EZ161" s="99"/>
      <c r="FA161" s="99"/>
      <c r="FB161" s="99"/>
      <c r="FC161" s="99"/>
      <c r="FD161" s="99"/>
      <c r="FE161" s="99"/>
      <c r="FF161" s="99"/>
      <c r="FG161" s="99"/>
      <c r="FH161" s="99"/>
      <c r="FI161" s="99"/>
      <c r="FJ161" s="99"/>
      <c r="FK161" s="99"/>
      <c r="FL161" s="99"/>
      <c r="FM161" s="99"/>
      <c r="FN161" s="99"/>
      <c r="FO161" s="99"/>
      <c r="FP161" s="99"/>
      <c r="FQ161" s="99"/>
      <c r="FR161" s="99"/>
      <c r="FS161" s="99"/>
      <c r="FT161" s="99"/>
      <c r="FU161" s="99"/>
      <c r="FV161" s="99"/>
      <c r="FW161" s="99"/>
      <c r="FX161" s="99"/>
      <c r="FY161" s="99"/>
      <c r="FZ161" s="99"/>
      <c r="GA161" s="99"/>
      <c r="GB161" s="99"/>
      <c r="GC161" s="99"/>
      <c r="GD161" s="99"/>
      <c r="GE161" s="99"/>
      <c r="GF161" s="99"/>
      <c r="GG161" s="99"/>
      <c r="GH161" s="99"/>
      <c r="GI161" s="99"/>
      <c r="GJ161" s="99"/>
      <c r="GK161" s="99"/>
      <c r="GL161" s="99"/>
      <c r="GM161" s="99"/>
      <c r="GN161" s="99"/>
      <c r="GO161" s="99"/>
      <c r="GP161" s="99"/>
      <c r="GQ161" s="99"/>
      <c r="GR161" s="99"/>
      <c r="GS161" s="99"/>
      <c r="GT161" s="99"/>
      <c r="GU161" s="99"/>
      <c r="GV161" s="99"/>
      <c r="GW161" s="99"/>
      <c r="GX161" s="99"/>
      <c r="GY161" s="99"/>
      <c r="GZ161" s="99"/>
      <c r="HA161" s="99"/>
      <c r="HB161" s="99"/>
      <c r="HC161" s="99"/>
      <c r="HD161" s="99"/>
      <c r="HE161" s="99"/>
      <c r="HF161" s="99"/>
      <c r="HG161" s="99"/>
      <c r="HH161" s="99"/>
      <c r="HI161" s="99"/>
      <c r="HJ161" s="99"/>
      <c r="HK161" s="99"/>
      <c r="HL161" s="99"/>
      <c r="HM161" s="99"/>
      <c r="HN161" s="99"/>
      <c r="HO161" s="99"/>
      <c r="HP161" s="99"/>
      <c r="HQ161" s="99"/>
      <c r="HR161" s="99"/>
      <c r="HS161" s="99"/>
      <c r="HT161" s="99"/>
      <c r="HU161" s="99"/>
      <c r="HV161" s="99"/>
      <c r="HW161" s="99"/>
      <c r="HX161" s="99"/>
      <c r="HY161" s="99"/>
      <c r="HZ161" s="99"/>
      <c r="IA161" s="99"/>
      <c r="IB161" s="99"/>
      <c r="IC161" s="99"/>
      <c r="ID161" s="99"/>
      <c r="IE161" s="99"/>
      <c r="IF161" s="99"/>
      <c r="IG161" s="99"/>
      <c r="IH161" s="99"/>
      <c r="II161" s="99"/>
      <c r="IJ161" s="99"/>
    </row>
    <row r="162" spans="1:254" ht="18.75">
      <c r="A162" s="117"/>
      <c r="B162" s="185" t="s">
        <v>285</v>
      </c>
      <c r="C162" s="227" t="s">
        <v>299</v>
      </c>
      <c r="D162" s="188" t="s">
        <v>560</v>
      </c>
      <c r="E162" s="231">
        <v>7.0000000000000007E-2</v>
      </c>
      <c r="F162" s="228"/>
      <c r="G162" s="229" t="s">
        <v>264</v>
      </c>
      <c r="H162" s="594">
        <v>7.0000000000000007E-2</v>
      </c>
      <c r="I162" s="229" t="s">
        <v>264</v>
      </c>
      <c r="J162" s="594">
        <v>7.0000000000000007E-2</v>
      </c>
      <c r="K162" s="229"/>
      <c r="L162" s="231"/>
      <c r="M162" s="229"/>
      <c r="N162" s="231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99"/>
      <c r="BR162" s="99"/>
      <c r="BS162" s="99"/>
      <c r="BT162" s="99"/>
      <c r="BU162" s="99"/>
      <c r="BV162" s="99"/>
      <c r="BW162" s="99"/>
      <c r="BX162" s="99"/>
      <c r="BY162" s="99"/>
      <c r="BZ162" s="99"/>
      <c r="CA162" s="99"/>
      <c r="CB162" s="99"/>
      <c r="CC162" s="99"/>
      <c r="CD162" s="99"/>
      <c r="CE162" s="99"/>
      <c r="CF162" s="99"/>
      <c r="CG162" s="99"/>
      <c r="CH162" s="99"/>
      <c r="CI162" s="99"/>
      <c r="CJ162" s="99"/>
      <c r="CK162" s="99"/>
      <c r="CL162" s="99"/>
      <c r="CM162" s="99"/>
      <c r="CN162" s="99"/>
      <c r="CO162" s="99"/>
      <c r="CP162" s="99"/>
      <c r="CQ162" s="99"/>
      <c r="CR162" s="99"/>
      <c r="CS162" s="99"/>
      <c r="CT162" s="99"/>
      <c r="CU162" s="99"/>
      <c r="CV162" s="99"/>
      <c r="CW162" s="99"/>
      <c r="CX162" s="99"/>
      <c r="CY162" s="99"/>
      <c r="CZ162" s="99"/>
      <c r="DA162" s="99"/>
      <c r="DB162" s="99"/>
      <c r="DC162" s="99"/>
      <c r="DD162" s="99"/>
      <c r="DE162" s="99"/>
      <c r="DF162" s="99"/>
      <c r="DG162" s="99"/>
      <c r="DH162" s="99"/>
      <c r="DI162" s="99"/>
      <c r="DJ162" s="99"/>
      <c r="DK162" s="99"/>
      <c r="DL162" s="99"/>
      <c r="DM162" s="99"/>
      <c r="DN162" s="99"/>
      <c r="DO162" s="99"/>
      <c r="DP162" s="99"/>
      <c r="DQ162" s="99"/>
      <c r="DR162" s="99"/>
      <c r="DS162" s="99"/>
      <c r="DT162" s="99"/>
      <c r="DU162" s="99"/>
      <c r="DV162" s="99"/>
      <c r="DW162" s="99"/>
      <c r="DX162" s="99"/>
      <c r="DY162" s="99"/>
      <c r="DZ162" s="99"/>
      <c r="EA162" s="99"/>
      <c r="EB162" s="99"/>
      <c r="EC162" s="99"/>
      <c r="ED162" s="99"/>
      <c r="EE162" s="99"/>
      <c r="EF162" s="99"/>
      <c r="EG162" s="99"/>
      <c r="EH162" s="99"/>
      <c r="EI162" s="99"/>
      <c r="EJ162" s="99"/>
      <c r="EK162" s="99"/>
      <c r="EL162" s="99"/>
      <c r="EM162" s="99"/>
      <c r="EN162" s="99"/>
      <c r="EO162" s="99"/>
      <c r="EP162" s="99"/>
      <c r="EQ162" s="99"/>
      <c r="ER162" s="99"/>
      <c r="ES162" s="99"/>
      <c r="ET162" s="99"/>
      <c r="EU162" s="99"/>
      <c r="EV162" s="99"/>
      <c r="EW162" s="99"/>
      <c r="EX162" s="99"/>
      <c r="EY162" s="99"/>
      <c r="EZ162" s="99"/>
      <c r="FA162" s="99"/>
      <c r="FB162" s="99"/>
      <c r="FC162" s="99"/>
      <c r="FD162" s="99"/>
      <c r="FE162" s="99"/>
      <c r="FF162" s="99"/>
      <c r="FG162" s="99"/>
      <c r="FH162" s="99"/>
      <c r="FI162" s="99"/>
      <c r="FJ162" s="99"/>
      <c r="FK162" s="99"/>
      <c r="FL162" s="99"/>
      <c r="FM162" s="99"/>
      <c r="FN162" s="99"/>
      <c r="FO162" s="99"/>
      <c r="FP162" s="99"/>
      <c r="FQ162" s="99"/>
      <c r="FR162" s="99"/>
      <c r="FS162" s="99"/>
      <c r="FT162" s="99"/>
      <c r="FU162" s="99"/>
      <c r="FV162" s="99"/>
      <c r="FW162" s="99"/>
      <c r="FX162" s="99"/>
      <c r="FY162" s="99"/>
      <c r="FZ162" s="99"/>
      <c r="GA162" s="99"/>
      <c r="GB162" s="99"/>
      <c r="GC162" s="99"/>
      <c r="GD162" s="99"/>
      <c r="GE162" s="99"/>
      <c r="GF162" s="99"/>
      <c r="GG162" s="99"/>
      <c r="GH162" s="99"/>
      <c r="GI162" s="99"/>
      <c r="GJ162" s="99"/>
      <c r="GK162" s="99"/>
      <c r="GL162" s="99"/>
      <c r="GM162" s="99"/>
      <c r="GN162" s="99"/>
      <c r="GO162" s="99"/>
      <c r="GP162" s="99"/>
      <c r="GQ162" s="99"/>
      <c r="GR162" s="99"/>
      <c r="GS162" s="99"/>
      <c r="GT162" s="99"/>
      <c r="GU162" s="99"/>
      <c r="GV162" s="99"/>
      <c r="GW162" s="99"/>
      <c r="GX162" s="99"/>
      <c r="GY162" s="99"/>
      <c r="GZ162" s="99"/>
      <c r="HA162" s="99"/>
      <c r="HB162" s="99"/>
      <c r="HC162" s="99"/>
      <c r="HD162" s="99"/>
      <c r="HE162" s="99"/>
      <c r="HF162" s="99"/>
      <c r="HG162" s="99"/>
      <c r="HH162" s="99"/>
      <c r="HI162" s="99"/>
      <c r="HJ162" s="99"/>
      <c r="HK162" s="99"/>
      <c r="HL162" s="99"/>
      <c r="HM162" s="99"/>
      <c r="HN162" s="99"/>
      <c r="HO162" s="99"/>
      <c r="HP162" s="99"/>
      <c r="HQ162" s="99"/>
      <c r="HR162" s="99"/>
      <c r="HS162" s="99"/>
      <c r="HT162" s="99"/>
      <c r="HU162" s="99"/>
      <c r="HV162" s="99"/>
      <c r="HW162" s="99"/>
      <c r="HX162" s="99"/>
      <c r="HY162" s="99"/>
      <c r="HZ162" s="99"/>
      <c r="IA162" s="99"/>
      <c r="IB162" s="99"/>
      <c r="IC162" s="99"/>
      <c r="ID162" s="99"/>
      <c r="IE162" s="99"/>
      <c r="IF162" s="99"/>
      <c r="IG162" s="99"/>
      <c r="IH162" s="99"/>
      <c r="II162" s="99"/>
      <c r="IJ162" s="99"/>
    </row>
    <row r="163" spans="1:254" ht="31.5">
      <c r="A163" s="117"/>
      <c r="B163" s="186" t="s">
        <v>286</v>
      </c>
      <c r="C163" s="224" t="s">
        <v>251</v>
      </c>
      <c r="D163" s="137" t="s">
        <v>563</v>
      </c>
      <c r="E163" s="138">
        <v>0.69</v>
      </c>
      <c r="F163" s="225"/>
      <c r="G163" s="172" t="s">
        <v>264</v>
      </c>
      <c r="H163" s="593">
        <v>0.69</v>
      </c>
      <c r="I163" s="172" t="s">
        <v>264</v>
      </c>
      <c r="J163" s="593">
        <v>0.69</v>
      </c>
      <c r="K163" s="172"/>
      <c r="L163" s="138"/>
      <c r="M163" s="172"/>
      <c r="N163" s="138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99"/>
      <c r="BR163" s="99"/>
      <c r="BS163" s="99"/>
      <c r="BT163" s="99"/>
      <c r="BU163" s="99"/>
      <c r="BV163" s="99"/>
      <c r="BW163" s="99"/>
      <c r="BX163" s="99"/>
      <c r="BY163" s="99"/>
      <c r="BZ163" s="99"/>
      <c r="CA163" s="99"/>
      <c r="CB163" s="99"/>
      <c r="CC163" s="99"/>
      <c r="CD163" s="99"/>
      <c r="CE163" s="99"/>
      <c r="CF163" s="99"/>
      <c r="CG163" s="99"/>
      <c r="CH163" s="99"/>
      <c r="CI163" s="99"/>
      <c r="CJ163" s="99"/>
      <c r="CK163" s="99"/>
      <c r="CL163" s="99"/>
      <c r="CM163" s="99"/>
      <c r="CN163" s="99"/>
      <c r="CO163" s="99"/>
      <c r="CP163" s="99"/>
      <c r="CQ163" s="99"/>
      <c r="CR163" s="99"/>
      <c r="CS163" s="99"/>
      <c r="CT163" s="99"/>
      <c r="CU163" s="99"/>
      <c r="CV163" s="99"/>
      <c r="CW163" s="99"/>
      <c r="CX163" s="99"/>
      <c r="CY163" s="99"/>
      <c r="CZ163" s="99"/>
      <c r="DA163" s="99"/>
      <c r="DB163" s="99"/>
      <c r="DC163" s="99"/>
      <c r="DD163" s="99"/>
      <c r="DE163" s="99"/>
      <c r="DF163" s="99"/>
      <c r="DG163" s="99"/>
      <c r="DH163" s="99"/>
      <c r="DI163" s="99"/>
      <c r="DJ163" s="99"/>
      <c r="DK163" s="99"/>
      <c r="DL163" s="99"/>
      <c r="DM163" s="99"/>
      <c r="DN163" s="99"/>
      <c r="DO163" s="99"/>
      <c r="DP163" s="99"/>
      <c r="DQ163" s="99"/>
      <c r="DR163" s="99"/>
      <c r="DS163" s="99"/>
      <c r="DT163" s="99"/>
      <c r="DU163" s="99"/>
      <c r="DV163" s="99"/>
      <c r="DW163" s="99"/>
      <c r="DX163" s="99"/>
      <c r="DY163" s="99"/>
      <c r="DZ163" s="99"/>
      <c r="EA163" s="99"/>
      <c r="EB163" s="99"/>
      <c r="EC163" s="99"/>
      <c r="ED163" s="99"/>
      <c r="EE163" s="99"/>
      <c r="EF163" s="99"/>
      <c r="EG163" s="99"/>
      <c r="EH163" s="99"/>
      <c r="EI163" s="99"/>
      <c r="EJ163" s="99"/>
      <c r="EK163" s="99"/>
      <c r="EL163" s="99"/>
      <c r="EM163" s="99"/>
      <c r="EN163" s="99"/>
      <c r="EO163" s="99"/>
      <c r="EP163" s="99"/>
      <c r="EQ163" s="99"/>
      <c r="ER163" s="99"/>
      <c r="ES163" s="99"/>
      <c r="ET163" s="99"/>
      <c r="EU163" s="99"/>
      <c r="EV163" s="99"/>
      <c r="EW163" s="99"/>
      <c r="EX163" s="99"/>
      <c r="EY163" s="99"/>
      <c r="EZ163" s="99"/>
      <c r="FA163" s="99"/>
      <c r="FB163" s="99"/>
      <c r="FC163" s="99"/>
      <c r="FD163" s="99"/>
      <c r="FE163" s="99"/>
      <c r="FF163" s="99"/>
      <c r="FG163" s="99"/>
      <c r="FH163" s="99"/>
      <c r="FI163" s="99"/>
      <c r="FJ163" s="99"/>
      <c r="FK163" s="99"/>
      <c r="FL163" s="99"/>
      <c r="FM163" s="99"/>
      <c r="FN163" s="99"/>
      <c r="FO163" s="99"/>
      <c r="FP163" s="99"/>
      <c r="FQ163" s="99"/>
      <c r="FR163" s="99"/>
      <c r="FS163" s="99"/>
      <c r="FT163" s="99"/>
      <c r="FU163" s="99"/>
      <c r="FV163" s="99"/>
      <c r="FW163" s="99"/>
      <c r="FX163" s="99"/>
      <c r="FY163" s="99"/>
      <c r="FZ163" s="99"/>
      <c r="GA163" s="99"/>
      <c r="GB163" s="99"/>
      <c r="GC163" s="99"/>
      <c r="GD163" s="99"/>
      <c r="GE163" s="99"/>
      <c r="GF163" s="99"/>
      <c r="GG163" s="99"/>
      <c r="GH163" s="99"/>
      <c r="GI163" s="99"/>
      <c r="GJ163" s="99"/>
      <c r="GK163" s="99"/>
      <c r="GL163" s="99"/>
      <c r="GM163" s="99"/>
      <c r="GN163" s="99"/>
      <c r="GO163" s="99"/>
      <c r="GP163" s="99"/>
      <c r="GQ163" s="99"/>
      <c r="GR163" s="99"/>
      <c r="GS163" s="99"/>
      <c r="GT163" s="99"/>
      <c r="GU163" s="99"/>
      <c r="GV163" s="99"/>
      <c r="GW163" s="99"/>
      <c r="GX163" s="99"/>
      <c r="GY163" s="99"/>
      <c r="GZ163" s="99"/>
      <c r="HA163" s="99"/>
      <c r="HB163" s="99"/>
      <c r="HC163" s="99"/>
      <c r="HD163" s="99"/>
      <c r="HE163" s="99"/>
      <c r="HF163" s="99"/>
      <c r="HG163" s="99"/>
      <c r="HH163" s="99"/>
      <c r="HI163" s="99"/>
      <c r="HJ163" s="99"/>
      <c r="HK163" s="99"/>
      <c r="HL163" s="99"/>
      <c r="HM163" s="99"/>
      <c r="HN163" s="99"/>
      <c r="HO163" s="99"/>
      <c r="HP163" s="99"/>
      <c r="HQ163" s="99"/>
      <c r="HR163" s="99"/>
      <c r="HS163" s="99"/>
      <c r="HT163" s="99"/>
      <c r="HU163" s="99"/>
      <c r="HV163" s="99"/>
      <c r="HW163" s="99"/>
      <c r="HX163" s="99"/>
      <c r="HY163" s="99"/>
      <c r="HZ163" s="99"/>
      <c r="IA163" s="99"/>
      <c r="IB163" s="99"/>
      <c r="IC163" s="99"/>
      <c r="ID163" s="99"/>
      <c r="IE163" s="99"/>
      <c r="IF163" s="99"/>
      <c r="IG163" s="99"/>
      <c r="IH163" s="99"/>
      <c r="II163" s="99"/>
      <c r="IJ163" s="99"/>
      <c r="IT163" s="112"/>
    </row>
    <row r="164" spans="1:254" ht="114.2" customHeight="1" thickBot="1">
      <c r="A164" s="494" t="s">
        <v>510</v>
      </c>
      <c r="B164" s="467"/>
      <c r="C164" s="482"/>
      <c r="D164" s="469"/>
      <c r="E164" s="473"/>
      <c r="F164" s="495"/>
      <c r="G164" s="496"/>
      <c r="H164" s="605"/>
      <c r="I164" s="496"/>
      <c r="J164" s="605"/>
      <c r="K164" s="496"/>
      <c r="L164" s="473"/>
      <c r="M164" s="496"/>
      <c r="N164" s="475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99"/>
      <c r="DE164" s="99"/>
      <c r="DF164" s="99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  <c r="DS164" s="99"/>
      <c r="DT164" s="99"/>
      <c r="DU164" s="99"/>
      <c r="DV164" s="99"/>
      <c r="DW164" s="99"/>
      <c r="DX164" s="99"/>
      <c r="DY164" s="99"/>
      <c r="DZ164" s="99"/>
      <c r="EA164" s="99"/>
      <c r="EB164" s="99"/>
      <c r="EC164" s="99"/>
      <c r="ED164" s="99"/>
      <c r="EE164" s="99"/>
      <c r="EF164" s="99"/>
      <c r="EG164" s="99"/>
      <c r="EH164" s="99"/>
      <c r="EI164" s="99"/>
      <c r="EJ164" s="99"/>
      <c r="EK164" s="99"/>
      <c r="EL164" s="99"/>
      <c r="EM164" s="99"/>
      <c r="EN164" s="99"/>
      <c r="EO164" s="99"/>
      <c r="EP164" s="99"/>
      <c r="EQ164" s="99"/>
      <c r="ER164" s="99"/>
      <c r="ES164" s="99"/>
      <c r="ET164" s="99"/>
      <c r="EU164" s="99"/>
      <c r="EV164" s="99"/>
      <c r="EW164" s="99"/>
      <c r="EX164" s="99"/>
      <c r="EY164" s="99"/>
      <c r="EZ164" s="99"/>
      <c r="FA164" s="99"/>
      <c r="FB164" s="99"/>
      <c r="FC164" s="99"/>
      <c r="FD164" s="99"/>
      <c r="FE164" s="99"/>
      <c r="FF164" s="99"/>
      <c r="FG164" s="99"/>
      <c r="FH164" s="99"/>
      <c r="FI164" s="99"/>
      <c r="FJ164" s="99"/>
      <c r="FK164" s="99"/>
      <c r="FL164" s="99"/>
      <c r="FM164" s="99"/>
      <c r="FN164" s="99"/>
      <c r="FO164" s="99"/>
      <c r="FP164" s="99"/>
      <c r="FQ164" s="99"/>
      <c r="FR164" s="99"/>
      <c r="FS164" s="99"/>
      <c r="FT164" s="99"/>
      <c r="FU164" s="99"/>
      <c r="FV164" s="99"/>
      <c r="FW164" s="99"/>
      <c r="FX164" s="99"/>
      <c r="FY164" s="99"/>
      <c r="FZ164" s="99"/>
      <c r="GA164" s="99"/>
      <c r="GB164" s="99"/>
      <c r="GC164" s="99"/>
      <c r="GD164" s="99"/>
      <c r="GE164" s="99"/>
      <c r="GF164" s="99"/>
      <c r="GG164" s="99"/>
      <c r="GH164" s="99"/>
      <c r="GI164" s="99"/>
      <c r="GJ164" s="99"/>
      <c r="GK164" s="99"/>
      <c r="GL164" s="99"/>
      <c r="GM164" s="99"/>
      <c r="GN164" s="99"/>
      <c r="GO164" s="99"/>
      <c r="GP164" s="99"/>
      <c r="GQ164" s="99"/>
      <c r="GR164" s="99"/>
      <c r="GS164" s="99"/>
      <c r="GT164" s="99"/>
      <c r="GU164" s="99"/>
      <c r="GV164" s="99"/>
      <c r="GW164" s="99"/>
      <c r="GX164" s="99"/>
      <c r="GY164" s="99"/>
      <c r="GZ164" s="99"/>
      <c r="HA164" s="99"/>
      <c r="HB164" s="99"/>
      <c r="HC164" s="99"/>
      <c r="HD164" s="99"/>
      <c r="HE164" s="99"/>
      <c r="HF164" s="99"/>
      <c r="HG164" s="99"/>
      <c r="HH164" s="99"/>
      <c r="HI164" s="99"/>
      <c r="HJ164" s="99"/>
      <c r="HK164" s="99"/>
      <c r="HL164" s="99"/>
      <c r="HM164" s="99"/>
      <c r="HN164" s="99"/>
      <c r="HO164" s="99"/>
      <c r="HP164" s="99"/>
      <c r="HQ164" s="99"/>
      <c r="HR164" s="99"/>
      <c r="HS164" s="99"/>
      <c r="HT164" s="99"/>
      <c r="HU164" s="99"/>
      <c r="HV164" s="99"/>
      <c r="HW164" s="99"/>
      <c r="HX164" s="99"/>
      <c r="HY164" s="99"/>
      <c r="HZ164" s="99"/>
      <c r="IA164" s="99"/>
      <c r="IB164" s="99"/>
      <c r="IC164" s="99"/>
      <c r="ID164" s="99"/>
      <c r="IE164" s="99"/>
      <c r="IF164" s="99"/>
      <c r="IG164" s="99"/>
      <c r="IH164" s="99"/>
      <c r="II164" s="99"/>
      <c r="IJ164" s="99"/>
      <c r="IT164" s="112"/>
    </row>
    <row r="165" spans="1:254" ht="30" customHeight="1" thickBot="1">
      <c r="A165" s="494" t="s">
        <v>510</v>
      </c>
      <c r="B165" s="479"/>
      <c r="C165" s="483"/>
      <c r="D165" s="476"/>
      <c r="E165" s="477"/>
      <c r="F165" s="497"/>
      <c r="G165" s="498"/>
      <c r="H165" s="606"/>
      <c r="I165" s="498"/>
      <c r="J165" s="606"/>
      <c r="K165" s="498"/>
      <c r="L165" s="477"/>
      <c r="M165" s="498"/>
      <c r="N165" s="477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T165" s="99"/>
      <c r="BU165" s="99"/>
      <c r="BV165" s="99"/>
      <c r="BW165" s="99"/>
      <c r="BX165" s="99"/>
      <c r="BY165" s="99"/>
      <c r="BZ165" s="99"/>
      <c r="CA165" s="99"/>
      <c r="CB165" s="99"/>
      <c r="CC165" s="99"/>
      <c r="CD165" s="99"/>
      <c r="CE165" s="99"/>
      <c r="CF165" s="99"/>
      <c r="CG165" s="99"/>
      <c r="CH165" s="99"/>
      <c r="CI165" s="99"/>
      <c r="CJ165" s="99"/>
      <c r="CK165" s="99"/>
      <c r="CL165" s="99"/>
      <c r="CM165" s="99"/>
      <c r="CN165" s="99"/>
      <c r="CO165" s="99"/>
      <c r="CP165" s="99"/>
      <c r="CQ165" s="99"/>
      <c r="CR165" s="99"/>
      <c r="CS165" s="99"/>
      <c r="CT165" s="99"/>
      <c r="CU165" s="99"/>
      <c r="CV165" s="99"/>
      <c r="CW165" s="99"/>
      <c r="CX165" s="99"/>
      <c r="CY165" s="99"/>
      <c r="CZ165" s="99"/>
      <c r="DA165" s="99"/>
      <c r="DB165" s="99"/>
      <c r="DC165" s="99"/>
      <c r="DD165" s="99"/>
      <c r="DE165" s="99"/>
      <c r="DF165" s="99"/>
      <c r="DG165" s="99"/>
      <c r="DH165" s="99"/>
      <c r="DI165" s="99"/>
      <c r="DJ165" s="99"/>
      <c r="DK165" s="99"/>
      <c r="DL165" s="99"/>
      <c r="DM165" s="99"/>
      <c r="DN165" s="99"/>
      <c r="DO165" s="99"/>
      <c r="DP165" s="99"/>
      <c r="DQ165" s="99"/>
      <c r="DR165" s="99"/>
      <c r="DS165" s="99"/>
      <c r="DT165" s="99"/>
      <c r="DU165" s="99"/>
      <c r="DV165" s="99"/>
      <c r="DW165" s="99"/>
      <c r="DX165" s="99"/>
      <c r="DY165" s="99"/>
      <c r="DZ165" s="99"/>
      <c r="EA165" s="99"/>
      <c r="EB165" s="99"/>
      <c r="EC165" s="99"/>
      <c r="ED165" s="99"/>
      <c r="EE165" s="99"/>
      <c r="EF165" s="99"/>
      <c r="EG165" s="99"/>
      <c r="EH165" s="99"/>
      <c r="EI165" s="99"/>
      <c r="EJ165" s="99"/>
      <c r="EK165" s="99"/>
      <c r="EL165" s="99"/>
      <c r="EM165" s="99"/>
      <c r="EN165" s="99"/>
      <c r="EO165" s="99"/>
      <c r="EP165" s="99"/>
      <c r="EQ165" s="99"/>
      <c r="ER165" s="99"/>
      <c r="ES165" s="99"/>
      <c r="ET165" s="99"/>
      <c r="EU165" s="99"/>
      <c r="EV165" s="99"/>
      <c r="EW165" s="99"/>
      <c r="EX165" s="99"/>
      <c r="EY165" s="99"/>
      <c r="EZ165" s="99"/>
      <c r="FA165" s="99"/>
      <c r="FB165" s="99"/>
      <c r="FC165" s="99"/>
      <c r="FD165" s="99"/>
      <c r="FE165" s="99"/>
      <c r="FF165" s="99"/>
      <c r="FG165" s="99"/>
      <c r="FH165" s="99"/>
      <c r="FI165" s="99"/>
      <c r="FJ165" s="99"/>
      <c r="FK165" s="99"/>
      <c r="FL165" s="99"/>
      <c r="FM165" s="99"/>
      <c r="FN165" s="99"/>
      <c r="FO165" s="99"/>
      <c r="FP165" s="99"/>
      <c r="FQ165" s="99"/>
      <c r="FR165" s="99"/>
      <c r="FS165" s="99"/>
      <c r="FT165" s="99"/>
      <c r="FU165" s="99"/>
      <c r="FV165" s="99"/>
      <c r="FW165" s="99"/>
      <c r="FX165" s="99"/>
      <c r="FY165" s="99"/>
      <c r="FZ165" s="99"/>
      <c r="GA165" s="99"/>
      <c r="GB165" s="99"/>
      <c r="GC165" s="99"/>
      <c r="GD165" s="99"/>
      <c r="GE165" s="99"/>
      <c r="GF165" s="99"/>
      <c r="GG165" s="99"/>
      <c r="GH165" s="99"/>
      <c r="GI165" s="99"/>
      <c r="GJ165" s="99"/>
      <c r="GK165" s="99"/>
      <c r="GL165" s="99"/>
      <c r="GM165" s="99"/>
      <c r="GN165" s="99"/>
      <c r="GO165" s="99"/>
      <c r="GP165" s="99"/>
      <c r="GQ165" s="99"/>
      <c r="GR165" s="99"/>
      <c r="GS165" s="99"/>
      <c r="GT165" s="99"/>
      <c r="GU165" s="99"/>
      <c r="GV165" s="99"/>
      <c r="GW165" s="99"/>
      <c r="GX165" s="99"/>
      <c r="GY165" s="99"/>
      <c r="GZ165" s="99"/>
      <c r="HA165" s="99"/>
      <c r="HB165" s="99"/>
      <c r="HC165" s="99"/>
      <c r="HD165" s="99"/>
      <c r="HE165" s="99"/>
      <c r="HF165" s="99"/>
      <c r="HG165" s="99"/>
      <c r="HH165" s="99"/>
      <c r="HI165" s="99"/>
      <c r="HJ165" s="99"/>
      <c r="HK165" s="99"/>
      <c r="HL165" s="99"/>
      <c r="HM165" s="99"/>
      <c r="HN165" s="99"/>
      <c r="HO165" s="99"/>
      <c r="HP165" s="99"/>
      <c r="HQ165" s="99"/>
      <c r="HR165" s="99"/>
      <c r="HS165" s="99"/>
      <c r="HT165" s="99"/>
      <c r="HU165" s="99"/>
      <c r="HV165" s="99"/>
      <c r="HW165" s="99"/>
      <c r="HX165" s="99"/>
      <c r="HY165" s="99"/>
      <c r="HZ165" s="99"/>
      <c r="IA165" s="99"/>
      <c r="IB165" s="99"/>
      <c r="IC165" s="99"/>
      <c r="ID165" s="99"/>
      <c r="IE165" s="99"/>
      <c r="IF165" s="99"/>
      <c r="IG165" s="99"/>
      <c r="IH165" s="99"/>
      <c r="II165" s="99"/>
      <c r="IJ165" s="99"/>
      <c r="IT165" s="112"/>
    </row>
    <row r="166" spans="1:254" ht="36" customHeight="1" thickBot="1">
      <c r="A166" s="463" t="s">
        <v>510</v>
      </c>
      <c r="B166" s="642" t="s">
        <v>35</v>
      </c>
      <c r="C166" s="642" t="s">
        <v>36</v>
      </c>
      <c r="D166" s="642" t="s">
        <v>37</v>
      </c>
      <c r="E166" s="642" t="s">
        <v>92</v>
      </c>
      <c r="F166" s="642" t="s">
        <v>18</v>
      </c>
      <c r="G166" s="645" t="s">
        <v>100</v>
      </c>
      <c r="H166" s="646"/>
      <c r="I166" s="646"/>
      <c r="J166" s="646"/>
      <c r="K166" s="646"/>
      <c r="L166" s="646"/>
      <c r="M166" s="646"/>
      <c r="N166" s="647"/>
      <c r="O166" s="134"/>
      <c r="P166" s="134"/>
      <c r="Q166" s="134"/>
      <c r="R166" s="134"/>
    </row>
    <row r="167" spans="1:254" ht="15.75" customHeight="1" thickBot="1">
      <c r="A167" s="463" t="s">
        <v>510</v>
      </c>
      <c r="B167" s="643"/>
      <c r="C167" s="643"/>
      <c r="D167" s="643"/>
      <c r="E167" s="643"/>
      <c r="F167" s="643"/>
      <c r="G167" s="645" t="s">
        <v>553</v>
      </c>
      <c r="H167" s="648"/>
      <c r="I167" s="645" t="s">
        <v>575</v>
      </c>
      <c r="J167" s="648"/>
      <c r="K167" s="645" t="s">
        <v>554</v>
      </c>
      <c r="L167" s="648"/>
      <c r="M167" s="645" t="s">
        <v>554</v>
      </c>
      <c r="N167" s="648"/>
      <c r="O167" s="134"/>
      <c r="P167" s="134"/>
      <c r="Q167" s="134"/>
      <c r="R167" s="134"/>
    </row>
    <row r="168" spans="1:254" ht="16.5" thickBot="1">
      <c r="A168" s="463" t="s">
        <v>510</v>
      </c>
      <c r="B168" s="644"/>
      <c r="C168" s="644"/>
      <c r="D168" s="644"/>
      <c r="E168" s="644"/>
      <c r="F168" s="644"/>
      <c r="G168" s="118" t="s">
        <v>38</v>
      </c>
      <c r="H168" s="118" t="s">
        <v>39</v>
      </c>
      <c r="I168" s="118" t="s">
        <v>38</v>
      </c>
      <c r="J168" s="118" t="s">
        <v>39</v>
      </c>
      <c r="K168" s="118" t="s">
        <v>38</v>
      </c>
      <c r="L168" s="118" t="s">
        <v>39</v>
      </c>
      <c r="M168" s="118" t="s">
        <v>38</v>
      </c>
      <c r="N168" s="118" t="s">
        <v>39</v>
      </c>
      <c r="O168" s="134"/>
      <c r="P168" s="134"/>
      <c r="Q168" s="134"/>
      <c r="R168" s="134"/>
    </row>
    <row r="169" spans="1:254">
      <c r="A169" s="463" t="s">
        <v>510</v>
      </c>
      <c r="B169" s="119" t="s">
        <v>115</v>
      </c>
      <c r="C169" s="120" t="s">
        <v>116</v>
      </c>
      <c r="D169" s="120" t="s">
        <v>117</v>
      </c>
      <c r="E169" s="120" t="s">
        <v>118</v>
      </c>
      <c r="F169" s="119" t="s">
        <v>119</v>
      </c>
      <c r="G169" s="121" t="s">
        <v>120</v>
      </c>
      <c r="H169" s="121" t="s">
        <v>121</v>
      </c>
      <c r="I169" s="122">
        <v>8</v>
      </c>
      <c r="J169" s="123">
        <v>9</v>
      </c>
      <c r="K169" s="124">
        <v>10</v>
      </c>
      <c r="L169" s="123">
        <v>11</v>
      </c>
      <c r="M169" s="124">
        <v>12</v>
      </c>
      <c r="N169" s="123">
        <v>13</v>
      </c>
      <c r="O169" s="125"/>
      <c r="P169" s="125"/>
      <c r="Q169" s="125"/>
      <c r="R169" s="125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99"/>
      <c r="BR169" s="99"/>
      <c r="BS169" s="99"/>
      <c r="BT169" s="99"/>
      <c r="BU169" s="99"/>
      <c r="BV169" s="99"/>
      <c r="BW169" s="99"/>
      <c r="BX169" s="99"/>
      <c r="BY169" s="99"/>
      <c r="BZ169" s="99"/>
      <c r="CA169" s="99"/>
      <c r="CB169" s="99"/>
      <c r="CC169" s="99"/>
      <c r="CD169" s="99"/>
      <c r="CE169" s="99"/>
      <c r="CF169" s="99"/>
      <c r="CG169" s="99"/>
      <c r="CH169" s="99"/>
      <c r="CI169" s="99"/>
      <c r="CJ169" s="99"/>
      <c r="CK169" s="99"/>
      <c r="CL169" s="99"/>
      <c r="CM169" s="99"/>
      <c r="CN169" s="99"/>
      <c r="CO169" s="99"/>
      <c r="CP169" s="99"/>
      <c r="CQ169" s="99"/>
      <c r="CR169" s="99"/>
      <c r="CS169" s="99"/>
      <c r="CT169" s="99"/>
      <c r="CU169" s="99"/>
      <c r="CV169" s="99"/>
      <c r="CW169" s="99"/>
      <c r="CX169" s="99"/>
      <c r="CY169" s="99"/>
      <c r="CZ169" s="99"/>
      <c r="DA169" s="99"/>
      <c r="DB169" s="99"/>
      <c r="DC169" s="99"/>
      <c r="DD169" s="99"/>
      <c r="DE169" s="99"/>
      <c r="DF169" s="99"/>
      <c r="DG169" s="99"/>
      <c r="DH169" s="99"/>
      <c r="DI169" s="99"/>
      <c r="DJ169" s="99"/>
      <c r="DK169" s="99"/>
      <c r="DL169" s="99"/>
      <c r="DM169" s="99"/>
      <c r="DN169" s="99"/>
      <c r="DO169" s="99"/>
      <c r="DP169" s="99"/>
      <c r="DQ169" s="99"/>
      <c r="DR169" s="99"/>
      <c r="DS169" s="99"/>
      <c r="DT169" s="99"/>
      <c r="DU169" s="99"/>
      <c r="DV169" s="99"/>
      <c r="DW169" s="99"/>
      <c r="DX169" s="99"/>
      <c r="DY169" s="99"/>
      <c r="DZ169" s="99"/>
      <c r="EA169" s="99"/>
      <c r="EB169" s="99"/>
      <c r="EC169" s="99"/>
      <c r="ED169" s="99"/>
      <c r="EE169" s="99"/>
      <c r="EF169" s="99"/>
      <c r="EG169" s="99"/>
      <c r="EH169" s="99"/>
      <c r="EI169" s="99"/>
      <c r="EJ169" s="99"/>
      <c r="EK169" s="99"/>
      <c r="EL169" s="99"/>
      <c r="EM169" s="99"/>
      <c r="EN169" s="99"/>
      <c r="EO169" s="99"/>
      <c r="EP169" s="99"/>
      <c r="EQ169" s="99"/>
      <c r="ER169" s="99"/>
      <c r="ES169" s="99"/>
      <c r="ET169" s="99"/>
      <c r="EU169" s="99"/>
      <c r="EV169" s="99"/>
      <c r="EW169" s="99"/>
      <c r="EX169" s="99"/>
      <c r="EY169" s="99"/>
      <c r="EZ169" s="99"/>
      <c r="FA169" s="99"/>
      <c r="FB169" s="99"/>
      <c r="FC169" s="99"/>
      <c r="FD169" s="99"/>
      <c r="FE169" s="99"/>
      <c r="FF169" s="99"/>
      <c r="FG169" s="99"/>
      <c r="FH169" s="99"/>
      <c r="FI169" s="99"/>
      <c r="FJ169" s="99"/>
      <c r="FK169" s="99"/>
      <c r="FL169" s="99"/>
      <c r="FM169" s="99"/>
      <c r="FN169" s="99"/>
      <c r="FO169" s="99"/>
      <c r="FP169" s="99"/>
      <c r="FQ169" s="99"/>
      <c r="FR169" s="99"/>
      <c r="FS169" s="99"/>
      <c r="FT169" s="99"/>
      <c r="FU169" s="99"/>
      <c r="FV169" s="99"/>
      <c r="FW169" s="99"/>
      <c r="FX169" s="99"/>
      <c r="FY169" s="99"/>
      <c r="FZ169" s="99"/>
      <c r="GA169" s="99"/>
      <c r="GB169" s="99"/>
      <c r="GC169" s="99"/>
      <c r="GD169" s="99"/>
      <c r="GE169" s="99"/>
      <c r="GF169" s="99"/>
      <c r="GG169" s="99"/>
      <c r="GH169" s="99"/>
      <c r="GI169" s="99"/>
      <c r="GJ169" s="99"/>
      <c r="GK169" s="99"/>
      <c r="GL169" s="99"/>
      <c r="GM169" s="99"/>
      <c r="GN169" s="99"/>
      <c r="GO169" s="99"/>
      <c r="GP169" s="99"/>
      <c r="GQ169" s="99"/>
      <c r="GR169" s="99"/>
      <c r="GS169" s="99"/>
      <c r="GT169" s="99"/>
      <c r="GU169" s="99"/>
      <c r="GV169" s="99"/>
      <c r="GW169" s="99"/>
      <c r="GX169" s="99"/>
      <c r="GY169" s="99"/>
      <c r="GZ169" s="99"/>
      <c r="HA169" s="99"/>
      <c r="HB169" s="99"/>
      <c r="HC169" s="99"/>
      <c r="HD169" s="99"/>
      <c r="HE169" s="99"/>
      <c r="HF169" s="99"/>
      <c r="HG169" s="99"/>
      <c r="HH169" s="99"/>
      <c r="HI169" s="99"/>
      <c r="HJ169" s="99"/>
      <c r="HK169" s="99"/>
      <c r="HL169" s="99"/>
      <c r="HM169" s="99"/>
      <c r="HN169" s="99"/>
      <c r="HO169" s="99"/>
      <c r="HP169" s="99"/>
      <c r="HQ169" s="99"/>
      <c r="HR169" s="99"/>
      <c r="HS169" s="99"/>
      <c r="HT169" s="99"/>
      <c r="HU169" s="99"/>
      <c r="HV169" s="99"/>
      <c r="HW169" s="99"/>
      <c r="HX169" s="99"/>
      <c r="HY169" s="99"/>
      <c r="HZ169" s="99"/>
      <c r="IA169" s="99"/>
      <c r="IB169" s="99"/>
      <c r="IC169" s="99"/>
      <c r="ID169" s="99"/>
      <c r="IE169" s="99"/>
      <c r="IF169" s="99"/>
      <c r="IG169" s="99"/>
      <c r="IH169" s="99"/>
      <c r="II169" s="99"/>
      <c r="IJ169" s="99"/>
    </row>
    <row r="170" spans="1:254" ht="95.25" customHeight="1" thickBot="1">
      <c r="A170" s="117"/>
      <c r="B170" s="185" t="s">
        <v>287</v>
      </c>
      <c r="C170" s="356" t="s">
        <v>262</v>
      </c>
      <c r="D170" s="357" t="s">
        <v>563</v>
      </c>
      <c r="E170" s="358">
        <v>0.22500000000000001</v>
      </c>
      <c r="F170" s="359"/>
      <c r="G170" s="360" t="s">
        <v>264</v>
      </c>
      <c r="H170" s="358">
        <v>0.22500000000000001</v>
      </c>
      <c r="I170" s="360" t="s">
        <v>264</v>
      </c>
      <c r="J170" s="358">
        <v>0.22500000000000001</v>
      </c>
      <c r="K170" s="360"/>
      <c r="L170" s="358"/>
      <c r="M170" s="360"/>
      <c r="N170" s="358"/>
      <c r="O170" s="99">
        <f>0.25*0.9</f>
        <v>0.22500000000000001</v>
      </c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T170" s="99"/>
      <c r="BU170" s="99"/>
      <c r="BV170" s="99"/>
      <c r="BW170" s="99"/>
      <c r="BX170" s="99"/>
      <c r="BY170" s="99"/>
      <c r="BZ170" s="99"/>
      <c r="CA170" s="99"/>
      <c r="CB170" s="99"/>
      <c r="CC170" s="99"/>
      <c r="CD170" s="99"/>
      <c r="CE170" s="99"/>
      <c r="CF170" s="99"/>
      <c r="CG170" s="99"/>
      <c r="CH170" s="99"/>
      <c r="CI170" s="99"/>
      <c r="CJ170" s="99"/>
      <c r="CK170" s="99"/>
      <c r="CL170" s="99"/>
      <c r="CM170" s="99"/>
      <c r="CN170" s="99"/>
      <c r="CO170" s="99"/>
      <c r="CP170" s="99"/>
      <c r="CQ170" s="99"/>
      <c r="CR170" s="99"/>
      <c r="CS170" s="99"/>
      <c r="CT170" s="99"/>
      <c r="CU170" s="99"/>
      <c r="CV170" s="99"/>
      <c r="CW170" s="99"/>
      <c r="CX170" s="99"/>
      <c r="CY170" s="99"/>
      <c r="CZ170" s="99"/>
      <c r="DA170" s="99"/>
      <c r="DB170" s="99"/>
      <c r="DC170" s="99"/>
      <c r="DD170" s="99"/>
      <c r="DE170" s="99"/>
      <c r="DF170" s="99"/>
      <c r="DG170" s="99"/>
      <c r="DH170" s="99"/>
      <c r="DI170" s="99"/>
      <c r="DJ170" s="99"/>
      <c r="DK170" s="99"/>
      <c r="DL170" s="99"/>
      <c r="DM170" s="99"/>
      <c r="DN170" s="99"/>
      <c r="DO170" s="99"/>
      <c r="DP170" s="99"/>
      <c r="DQ170" s="99"/>
      <c r="DR170" s="99"/>
      <c r="DS170" s="99"/>
      <c r="DT170" s="99"/>
      <c r="DU170" s="99"/>
      <c r="DV170" s="99"/>
      <c r="DW170" s="99"/>
      <c r="DX170" s="99"/>
      <c r="DY170" s="99"/>
      <c r="DZ170" s="99"/>
      <c r="EA170" s="99"/>
      <c r="EB170" s="99"/>
      <c r="EC170" s="99"/>
      <c r="ED170" s="99"/>
      <c r="EE170" s="99"/>
      <c r="EF170" s="99"/>
      <c r="EG170" s="99"/>
      <c r="EH170" s="99"/>
      <c r="EI170" s="99"/>
      <c r="EJ170" s="99"/>
      <c r="EK170" s="99"/>
      <c r="EL170" s="99"/>
      <c r="EM170" s="99"/>
      <c r="EN170" s="99"/>
      <c r="EO170" s="99"/>
      <c r="EP170" s="99"/>
      <c r="EQ170" s="99"/>
      <c r="ER170" s="99"/>
      <c r="ES170" s="99"/>
      <c r="ET170" s="99"/>
      <c r="EU170" s="99"/>
      <c r="EV170" s="99"/>
      <c r="EW170" s="99"/>
      <c r="EX170" s="99"/>
      <c r="EY170" s="99"/>
      <c r="EZ170" s="99"/>
      <c r="FA170" s="99"/>
      <c r="FB170" s="99"/>
      <c r="FC170" s="99"/>
      <c r="FD170" s="99"/>
      <c r="FE170" s="99"/>
      <c r="FF170" s="99"/>
      <c r="FG170" s="99"/>
      <c r="FH170" s="99"/>
      <c r="FI170" s="99"/>
      <c r="FJ170" s="99"/>
      <c r="FK170" s="99"/>
      <c r="FL170" s="99"/>
      <c r="FM170" s="99"/>
      <c r="FN170" s="99"/>
      <c r="FO170" s="99"/>
      <c r="FP170" s="99"/>
      <c r="FQ170" s="99"/>
      <c r="FR170" s="99"/>
      <c r="FS170" s="99"/>
      <c r="FT170" s="99"/>
      <c r="FU170" s="99"/>
      <c r="FV170" s="99"/>
      <c r="FW170" s="99"/>
      <c r="FX170" s="99"/>
      <c r="FY170" s="99"/>
      <c r="FZ170" s="99"/>
      <c r="GA170" s="99"/>
      <c r="GB170" s="99"/>
      <c r="GC170" s="99"/>
      <c r="GD170" s="99"/>
      <c r="GE170" s="99"/>
      <c r="GF170" s="99"/>
      <c r="GG170" s="99"/>
      <c r="GH170" s="99"/>
      <c r="GI170" s="99"/>
      <c r="GJ170" s="99"/>
      <c r="GK170" s="99"/>
      <c r="GL170" s="99"/>
      <c r="GM170" s="99"/>
      <c r="GN170" s="99"/>
      <c r="GO170" s="99"/>
      <c r="GP170" s="99"/>
      <c r="GQ170" s="99"/>
      <c r="GR170" s="99"/>
      <c r="GS170" s="99"/>
      <c r="GT170" s="99"/>
      <c r="GU170" s="99"/>
      <c r="GV170" s="99"/>
      <c r="GW170" s="99"/>
      <c r="GX170" s="99"/>
      <c r="GY170" s="99"/>
      <c r="GZ170" s="99"/>
      <c r="HA170" s="99"/>
      <c r="HB170" s="99"/>
      <c r="HC170" s="99"/>
      <c r="HD170" s="99"/>
      <c r="HE170" s="99"/>
      <c r="HF170" s="99"/>
      <c r="HG170" s="99"/>
      <c r="HH170" s="99"/>
      <c r="HI170" s="99"/>
      <c r="HJ170" s="99"/>
      <c r="HK170" s="99"/>
      <c r="HL170" s="99"/>
      <c r="HM170" s="99"/>
      <c r="HN170" s="99"/>
      <c r="HO170" s="99"/>
      <c r="HP170" s="99"/>
      <c r="HQ170" s="99"/>
      <c r="HR170" s="99"/>
      <c r="HS170" s="99"/>
      <c r="HT170" s="99"/>
      <c r="HU170" s="99"/>
      <c r="HV170" s="99"/>
      <c r="HW170" s="99"/>
      <c r="HX170" s="99"/>
      <c r="HY170" s="99"/>
      <c r="HZ170" s="99"/>
      <c r="IA170" s="99"/>
      <c r="IB170" s="99"/>
      <c r="IC170" s="99"/>
      <c r="ID170" s="99"/>
      <c r="IE170" s="99"/>
      <c r="IF170" s="99"/>
      <c r="IG170" s="99"/>
      <c r="IH170" s="99"/>
      <c r="II170" s="99"/>
      <c r="IJ170" s="99"/>
      <c r="IT170" s="112"/>
    </row>
    <row r="171" spans="1:254" ht="32.25" thickBot="1">
      <c r="A171" s="117"/>
      <c r="B171" s="218"/>
      <c r="C171" s="205" t="s">
        <v>288</v>
      </c>
      <c r="D171" s="218"/>
      <c r="E171" s="221"/>
      <c r="F171" s="219"/>
      <c r="G171" s="220"/>
      <c r="H171" s="221"/>
      <c r="I171" s="220"/>
      <c r="J171" s="221"/>
      <c r="K171" s="220"/>
      <c r="L171" s="221"/>
      <c r="M171" s="220"/>
      <c r="N171" s="221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99"/>
      <c r="BR171" s="99"/>
      <c r="BS171" s="99"/>
      <c r="BT171" s="99"/>
      <c r="BU171" s="99"/>
      <c r="BV171" s="99"/>
      <c r="BW171" s="99"/>
      <c r="BX171" s="99"/>
      <c r="BY171" s="99"/>
      <c r="BZ171" s="99"/>
      <c r="CA171" s="99"/>
      <c r="CB171" s="99"/>
      <c r="CC171" s="99"/>
      <c r="CD171" s="99"/>
      <c r="CE171" s="99"/>
      <c r="CF171" s="99"/>
      <c r="CG171" s="99"/>
      <c r="CH171" s="99"/>
      <c r="CI171" s="99"/>
      <c r="CJ171" s="99"/>
      <c r="CK171" s="99"/>
      <c r="CL171" s="99"/>
      <c r="CM171" s="99"/>
      <c r="CN171" s="99"/>
      <c r="CO171" s="99"/>
      <c r="CP171" s="99"/>
      <c r="CQ171" s="99"/>
      <c r="CR171" s="99"/>
      <c r="CS171" s="99"/>
      <c r="CT171" s="99"/>
      <c r="CU171" s="99"/>
      <c r="CV171" s="99"/>
      <c r="CW171" s="99"/>
      <c r="CX171" s="99"/>
      <c r="CY171" s="99"/>
      <c r="CZ171" s="99"/>
      <c r="DA171" s="99"/>
      <c r="DB171" s="99"/>
      <c r="DC171" s="99"/>
      <c r="DD171" s="99"/>
      <c r="DE171" s="99"/>
      <c r="DF171" s="99"/>
      <c r="DG171" s="99"/>
      <c r="DH171" s="99"/>
      <c r="DI171" s="99"/>
      <c r="DJ171" s="99"/>
      <c r="DK171" s="99"/>
      <c r="DL171" s="99"/>
      <c r="DM171" s="99"/>
      <c r="DN171" s="99"/>
      <c r="DO171" s="99"/>
      <c r="DP171" s="99"/>
      <c r="DQ171" s="99"/>
      <c r="DR171" s="99"/>
      <c r="DS171" s="99"/>
      <c r="DT171" s="99"/>
      <c r="DU171" s="99"/>
      <c r="DV171" s="99"/>
      <c r="DW171" s="99"/>
      <c r="DX171" s="99"/>
      <c r="DY171" s="99"/>
      <c r="DZ171" s="99"/>
      <c r="EA171" s="99"/>
      <c r="EB171" s="99"/>
      <c r="EC171" s="99"/>
      <c r="ED171" s="99"/>
      <c r="EE171" s="99"/>
      <c r="EF171" s="99"/>
      <c r="EG171" s="99"/>
      <c r="EH171" s="99"/>
      <c r="EI171" s="99"/>
      <c r="EJ171" s="99"/>
      <c r="EK171" s="99"/>
      <c r="EL171" s="99"/>
      <c r="EM171" s="99"/>
      <c r="EN171" s="99"/>
      <c r="EO171" s="99"/>
      <c r="EP171" s="99"/>
      <c r="EQ171" s="99"/>
      <c r="ER171" s="99"/>
      <c r="ES171" s="99"/>
      <c r="ET171" s="99"/>
      <c r="EU171" s="99"/>
      <c r="EV171" s="99"/>
      <c r="EW171" s="99"/>
      <c r="EX171" s="99"/>
      <c r="EY171" s="99"/>
      <c r="EZ171" s="99"/>
      <c r="FA171" s="99"/>
      <c r="FB171" s="99"/>
      <c r="FC171" s="99"/>
      <c r="FD171" s="99"/>
      <c r="FE171" s="99"/>
      <c r="FF171" s="99"/>
      <c r="FG171" s="99"/>
      <c r="FH171" s="99"/>
      <c r="FI171" s="99"/>
      <c r="FJ171" s="99"/>
      <c r="FK171" s="99"/>
      <c r="FL171" s="99"/>
      <c r="FM171" s="99"/>
      <c r="FN171" s="99"/>
      <c r="FO171" s="99"/>
      <c r="FP171" s="99"/>
      <c r="FQ171" s="99"/>
      <c r="FR171" s="99"/>
      <c r="FS171" s="99"/>
      <c r="FT171" s="99"/>
      <c r="FU171" s="99"/>
      <c r="FV171" s="99"/>
      <c r="FW171" s="99"/>
      <c r="FX171" s="99"/>
      <c r="FY171" s="99"/>
      <c r="FZ171" s="99"/>
      <c r="GA171" s="99"/>
      <c r="GB171" s="99"/>
      <c r="GC171" s="99"/>
      <c r="GD171" s="99"/>
      <c r="GE171" s="99"/>
      <c r="GF171" s="99"/>
      <c r="GG171" s="99"/>
      <c r="GH171" s="99"/>
      <c r="GI171" s="99"/>
      <c r="GJ171" s="99"/>
      <c r="GK171" s="99"/>
      <c r="GL171" s="99"/>
      <c r="GM171" s="99"/>
      <c r="GN171" s="99"/>
      <c r="GO171" s="99"/>
      <c r="GP171" s="99"/>
      <c r="GQ171" s="99"/>
      <c r="GR171" s="99"/>
      <c r="GS171" s="99"/>
      <c r="GT171" s="99"/>
      <c r="GU171" s="99"/>
      <c r="GV171" s="99"/>
      <c r="GW171" s="99"/>
      <c r="GX171" s="99"/>
      <c r="GY171" s="99"/>
      <c r="GZ171" s="99"/>
      <c r="HA171" s="99"/>
      <c r="HB171" s="99"/>
      <c r="HC171" s="99"/>
      <c r="HD171" s="99"/>
      <c r="HE171" s="99"/>
      <c r="HF171" s="99"/>
      <c r="HG171" s="99"/>
      <c r="HH171" s="99"/>
      <c r="HI171" s="99"/>
      <c r="HJ171" s="99"/>
      <c r="HK171" s="99"/>
      <c r="HL171" s="99"/>
      <c r="HM171" s="99"/>
      <c r="HN171" s="99"/>
      <c r="HO171" s="99"/>
      <c r="HP171" s="99"/>
      <c r="HQ171" s="99"/>
      <c r="HR171" s="99"/>
      <c r="HS171" s="99"/>
      <c r="HT171" s="99"/>
      <c r="HU171" s="99"/>
      <c r="HV171" s="99"/>
      <c r="HW171" s="99"/>
      <c r="HX171" s="99"/>
      <c r="HY171" s="99"/>
      <c r="HZ171" s="99"/>
      <c r="IA171" s="99"/>
      <c r="IB171" s="99"/>
      <c r="IC171" s="99"/>
      <c r="ID171" s="99"/>
      <c r="IE171" s="99"/>
      <c r="IF171" s="99"/>
      <c r="IG171" s="99"/>
      <c r="IH171" s="99"/>
      <c r="II171" s="99"/>
      <c r="IJ171" s="99"/>
    </row>
    <row r="172" spans="1:254" ht="18.75">
      <c r="A172" s="117"/>
      <c r="B172" s="203" t="s">
        <v>289</v>
      </c>
      <c r="C172" s="307" t="s">
        <v>234</v>
      </c>
      <c r="D172" s="187" t="s">
        <v>560</v>
      </c>
      <c r="E172" s="270">
        <v>0.03</v>
      </c>
      <c r="F172" s="203"/>
      <c r="G172" s="271" t="s">
        <v>264</v>
      </c>
      <c r="H172" s="270">
        <v>0.03</v>
      </c>
      <c r="I172" s="271" t="s">
        <v>264</v>
      </c>
      <c r="J172" s="270">
        <v>0.03</v>
      </c>
      <c r="K172" s="271"/>
      <c r="L172" s="270"/>
      <c r="M172" s="271"/>
      <c r="N172" s="270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99"/>
      <c r="BR172" s="99"/>
      <c r="BS172" s="99"/>
      <c r="BT172" s="99"/>
      <c r="BU172" s="99"/>
      <c r="BV172" s="99"/>
      <c r="BW172" s="99"/>
      <c r="BX172" s="99"/>
      <c r="BY172" s="99"/>
      <c r="BZ172" s="99"/>
      <c r="CA172" s="99"/>
      <c r="CB172" s="99"/>
      <c r="CC172" s="99"/>
      <c r="CD172" s="99"/>
      <c r="CE172" s="99"/>
      <c r="CF172" s="99"/>
      <c r="CG172" s="99"/>
      <c r="CH172" s="99"/>
      <c r="CI172" s="99"/>
      <c r="CJ172" s="99"/>
      <c r="CK172" s="99"/>
      <c r="CL172" s="99"/>
      <c r="CM172" s="99"/>
      <c r="CN172" s="99"/>
      <c r="CO172" s="99"/>
      <c r="CP172" s="99"/>
      <c r="CQ172" s="99"/>
      <c r="CR172" s="99"/>
      <c r="CS172" s="99"/>
      <c r="CT172" s="99"/>
      <c r="CU172" s="99"/>
      <c r="CV172" s="99"/>
      <c r="CW172" s="99"/>
      <c r="CX172" s="99"/>
      <c r="CY172" s="99"/>
      <c r="CZ172" s="99"/>
      <c r="DA172" s="99"/>
      <c r="DB172" s="99"/>
      <c r="DC172" s="99"/>
      <c r="DD172" s="99"/>
      <c r="DE172" s="99"/>
      <c r="DF172" s="99"/>
      <c r="DG172" s="99"/>
      <c r="DH172" s="99"/>
      <c r="DI172" s="99"/>
      <c r="DJ172" s="99"/>
      <c r="DK172" s="99"/>
      <c r="DL172" s="99"/>
      <c r="DM172" s="99"/>
      <c r="DN172" s="99"/>
      <c r="DO172" s="99"/>
      <c r="DP172" s="99"/>
      <c r="DQ172" s="99"/>
      <c r="DR172" s="99"/>
      <c r="DS172" s="99"/>
      <c r="DT172" s="99"/>
      <c r="DU172" s="99"/>
      <c r="DV172" s="99"/>
      <c r="DW172" s="99"/>
      <c r="DX172" s="99"/>
      <c r="DY172" s="99"/>
      <c r="DZ172" s="99"/>
      <c r="EA172" s="99"/>
      <c r="EB172" s="99"/>
      <c r="EC172" s="99"/>
      <c r="ED172" s="99"/>
      <c r="EE172" s="99"/>
      <c r="EF172" s="99"/>
      <c r="EG172" s="99"/>
      <c r="EH172" s="99"/>
      <c r="EI172" s="99"/>
      <c r="EJ172" s="99"/>
      <c r="EK172" s="99"/>
      <c r="EL172" s="99"/>
      <c r="EM172" s="99"/>
      <c r="EN172" s="99"/>
      <c r="EO172" s="99"/>
      <c r="EP172" s="99"/>
      <c r="EQ172" s="99"/>
      <c r="ER172" s="99"/>
      <c r="ES172" s="99"/>
      <c r="ET172" s="99"/>
      <c r="EU172" s="99"/>
      <c r="EV172" s="99"/>
      <c r="EW172" s="99"/>
      <c r="EX172" s="99"/>
      <c r="EY172" s="99"/>
      <c r="EZ172" s="99"/>
      <c r="FA172" s="99"/>
      <c r="FB172" s="99"/>
      <c r="FC172" s="99"/>
      <c r="FD172" s="99"/>
      <c r="FE172" s="99"/>
      <c r="FF172" s="99"/>
      <c r="FG172" s="99"/>
      <c r="FH172" s="99"/>
      <c r="FI172" s="99"/>
      <c r="FJ172" s="99"/>
      <c r="FK172" s="99"/>
      <c r="FL172" s="99"/>
      <c r="FM172" s="99"/>
      <c r="FN172" s="99"/>
      <c r="FO172" s="99"/>
      <c r="FP172" s="99"/>
      <c r="FQ172" s="99"/>
      <c r="FR172" s="99"/>
      <c r="FS172" s="99"/>
      <c r="FT172" s="99"/>
      <c r="FU172" s="99"/>
      <c r="FV172" s="99"/>
      <c r="FW172" s="99"/>
      <c r="FX172" s="99"/>
      <c r="FY172" s="99"/>
      <c r="FZ172" s="99"/>
      <c r="GA172" s="99"/>
      <c r="GB172" s="99"/>
      <c r="GC172" s="99"/>
      <c r="GD172" s="99"/>
      <c r="GE172" s="99"/>
      <c r="GF172" s="99"/>
      <c r="GG172" s="99"/>
      <c r="GH172" s="99"/>
      <c r="GI172" s="99"/>
      <c r="GJ172" s="99"/>
      <c r="GK172" s="99"/>
      <c r="GL172" s="99"/>
      <c r="GM172" s="99"/>
      <c r="GN172" s="99"/>
      <c r="GO172" s="99"/>
      <c r="GP172" s="99"/>
      <c r="GQ172" s="99"/>
      <c r="GR172" s="99"/>
      <c r="GS172" s="99"/>
      <c r="GT172" s="99"/>
      <c r="GU172" s="99"/>
      <c r="GV172" s="99"/>
      <c r="GW172" s="99"/>
      <c r="GX172" s="99"/>
      <c r="GY172" s="99"/>
      <c r="GZ172" s="99"/>
      <c r="HA172" s="99"/>
      <c r="HB172" s="99"/>
      <c r="HC172" s="99"/>
      <c r="HD172" s="99"/>
      <c r="HE172" s="99"/>
      <c r="HF172" s="99"/>
      <c r="HG172" s="99"/>
      <c r="HH172" s="99"/>
      <c r="HI172" s="99"/>
      <c r="HJ172" s="99"/>
      <c r="HK172" s="99"/>
      <c r="HL172" s="99"/>
      <c r="HM172" s="99"/>
      <c r="HN172" s="99"/>
      <c r="HO172" s="99"/>
      <c r="HP172" s="99"/>
      <c r="HQ172" s="99"/>
      <c r="HR172" s="99"/>
      <c r="HS172" s="99"/>
      <c r="HT172" s="99"/>
      <c r="HU172" s="99"/>
      <c r="HV172" s="99"/>
      <c r="HW172" s="99"/>
      <c r="HX172" s="99"/>
      <c r="HY172" s="99"/>
      <c r="HZ172" s="99"/>
      <c r="IA172" s="99"/>
      <c r="IB172" s="99"/>
      <c r="IC172" s="99"/>
      <c r="ID172" s="99"/>
      <c r="IE172" s="99"/>
      <c r="IF172" s="99"/>
      <c r="IG172" s="99"/>
      <c r="IH172" s="99"/>
      <c r="II172" s="99"/>
      <c r="IJ172" s="99"/>
    </row>
    <row r="173" spans="1:254">
      <c r="A173" s="117"/>
      <c r="B173" s="186" t="s">
        <v>290</v>
      </c>
      <c r="C173" s="208" t="s">
        <v>294</v>
      </c>
      <c r="D173" s="136" t="s">
        <v>279</v>
      </c>
      <c r="E173" s="159" t="s">
        <v>281</v>
      </c>
      <c r="F173" s="267"/>
      <c r="G173" s="283" t="s">
        <v>557</v>
      </c>
      <c r="H173" s="159" t="s">
        <v>281</v>
      </c>
      <c r="I173" s="283" t="s">
        <v>557</v>
      </c>
      <c r="J173" s="159" t="s">
        <v>281</v>
      </c>
      <c r="K173" s="283"/>
      <c r="L173" s="159"/>
      <c r="M173" s="283"/>
      <c r="N173" s="15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99"/>
      <c r="BR173" s="99"/>
      <c r="BS173" s="99"/>
      <c r="BT173" s="99"/>
      <c r="BU173" s="99"/>
      <c r="BV173" s="99"/>
      <c r="BW173" s="99"/>
      <c r="BX173" s="99"/>
      <c r="BY173" s="99"/>
      <c r="BZ173" s="99"/>
      <c r="CA173" s="99"/>
      <c r="CB173" s="99"/>
      <c r="CC173" s="99"/>
      <c r="CD173" s="99"/>
      <c r="CE173" s="99"/>
      <c r="CF173" s="99"/>
      <c r="CG173" s="99"/>
      <c r="CH173" s="99"/>
      <c r="CI173" s="99"/>
      <c r="CJ173" s="99"/>
      <c r="CK173" s="99"/>
      <c r="CL173" s="99"/>
      <c r="CM173" s="99"/>
      <c r="CN173" s="99"/>
      <c r="CO173" s="99"/>
      <c r="CP173" s="99"/>
      <c r="CQ173" s="99"/>
      <c r="CR173" s="99"/>
      <c r="CS173" s="99"/>
      <c r="CT173" s="99"/>
      <c r="CU173" s="99"/>
      <c r="CV173" s="99"/>
      <c r="CW173" s="99"/>
      <c r="CX173" s="99"/>
      <c r="CY173" s="99"/>
      <c r="CZ173" s="99"/>
      <c r="DA173" s="99"/>
      <c r="DB173" s="99"/>
      <c r="DC173" s="99"/>
      <c r="DD173" s="99"/>
      <c r="DE173" s="99"/>
      <c r="DF173" s="99"/>
      <c r="DG173" s="99"/>
      <c r="DH173" s="99"/>
      <c r="DI173" s="99"/>
      <c r="DJ173" s="99"/>
      <c r="DK173" s="99"/>
      <c r="DL173" s="99"/>
      <c r="DM173" s="99"/>
      <c r="DN173" s="99"/>
      <c r="DO173" s="99"/>
      <c r="DP173" s="99"/>
      <c r="DQ173" s="99"/>
      <c r="DR173" s="99"/>
      <c r="DS173" s="99"/>
      <c r="DT173" s="99"/>
      <c r="DU173" s="99"/>
      <c r="DV173" s="99"/>
      <c r="DW173" s="99"/>
      <c r="DX173" s="99"/>
      <c r="DY173" s="99"/>
      <c r="DZ173" s="99"/>
      <c r="EA173" s="99"/>
      <c r="EB173" s="99"/>
      <c r="EC173" s="99"/>
      <c r="ED173" s="99"/>
      <c r="EE173" s="99"/>
      <c r="EF173" s="99"/>
      <c r="EG173" s="99"/>
      <c r="EH173" s="99"/>
      <c r="EI173" s="99"/>
      <c r="EJ173" s="99"/>
      <c r="EK173" s="99"/>
      <c r="EL173" s="99"/>
      <c r="EM173" s="99"/>
      <c r="EN173" s="99"/>
      <c r="EO173" s="99"/>
      <c r="EP173" s="99"/>
      <c r="EQ173" s="99"/>
      <c r="ER173" s="99"/>
      <c r="ES173" s="99"/>
      <c r="ET173" s="99"/>
      <c r="EU173" s="99"/>
      <c r="EV173" s="99"/>
      <c r="EW173" s="99"/>
      <c r="EX173" s="99"/>
      <c r="EY173" s="99"/>
      <c r="EZ173" s="99"/>
      <c r="FA173" s="99"/>
      <c r="FB173" s="99"/>
      <c r="FC173" s="99"/>
      <c r="FD173" s="99"/>
      <c r="FE173" s="99"/>
      <c r="FF173" s="99"/>
      <c r="FG173" s="99"/>
      <c r="FH173" s="99"/>
      <c r="FI173" s="99"/>
      <c r="FJ173" s="99"/>
      <c r="FK173" s="99"/>
      <c r="FL173" s="99"/>
      <c r="FM173" s="99"/>
      <c r="FN173" s="99"/>
      <c r="FO173" s="99"/>
      <c r="FP173" s="99"/>
      <c r="FQ173" s="99"/>
      <c r="FR173" s="99"/>
      <c r="FS173" s="99"/>
      <c r="FT173" s="99"/>
      <c r="FU173" s="99"/>
      <c r="FV173" s="99"/>
      <c r="FW173" s="99"/>
      <c r="FX173" s="99"/>
      <c r="FY173" s="99"/>
      <c r="FZ173" s="99"/>
      <c r="GA173" s="99"/>
      <c r="GB173" s="99"/>
      <c r="GC173" s="99"/>
      <c r="GD173" s="99"/>
      <c r="GE173" s="99"/>
      <c r="GF173" s="99"/>
      <c r="GG173" s="99"/>
      <c r="GH173" s="99"/>
      <c r="GI173" s="99"/>
      <c r="GJ173" s="99"/>
      <c r="GK173" s="99"/>
      <c r="GL173" s="99"/>
      <c r="GM173" s="99"/>
      <c r="GN173" s="99"/>
      <c r="GO173" s="99"/>
      <c r="GP173" s="99"/>
      <c r="GQ173" s="99"/>
      <c r="GR173" s="99"/>
      <c r="GS173" s="99"/>
      <c r="GT173" s="99"/>
      <c r="GU173" s="99"/>
      <c r="GV173" s="99"/>
      <c r="GW173" s="99"/>
      <c r="GX173" s="99"/>
      <c r="GY173" s="99"/>
      <c r="GZ173" s="99"/>
      <c r="HA173" s="99"/>
      <c r="HB173" s="99"/>
      <c r="HC173" s="99"/>
      <c r="HD173" s="99"/>
      <c r="HE173" s="99"/>
      <c r="HF173" s="99"/>
      <c r="HG173" s="99"/>
      <c r="HH173" s="99"/>
      <c r="HI173" s="99"/>
      <c r="HJ173" s="99"/>
      <c r="HK173" s="99"/>
      <c r="HL173" s="99"/>
      <c r="HM173" s="99"/>
      <c r="HN173" s="99"/>
      <c r="HO173" s="99"/>
      <c r="HP173" s="99"/>
      <c r="HQ173" s="99"/>
      <c r="HR173" s="99"/>
      <c r="HS173" s="99"/>
      <c r="HT173" s="99"/>
      <c r="HU173" s="99"/>
      <c r="HV173" s="99"/>
      <c r="HW173" s="99"/>
      <c r="HX173" s="99"/>
      <c r="HY173" s="99"/>
      <c r="HZ173" s="99"/>
      <c r="IA173" s="99"/>
      <c r="IB173" s="99"/>
      <c r="IC173" s="99"/>
      <c r="ID173" s="99"/>
      <c r="IE173" s="99"/>
      <c r="IF173" s="99"/>
      <c r="IG173" s="99"/>
      <c r="IH173" s="99"/>
      <c r="II173" s="99"/>
      <c r="IJ173" s="99"/>
    </row>
    <row r="174" spans="1:254" ht="18.75">
      <c r="A174" s="117"/>
      <c r="B174" s="185" t="s">
        <v>291</v>
      </c>
      <c r="C174" s="227" t="s">
        <v>299</v>
      </c>
      <c r="D174" s="188" t="s">
        <v>560</v>
      </c>
      <c r="E174" s="231">
        <v>0.04</v>
      </c>
      <c r="F174" s="228"/>
      <c r="G174" s="229" t="s">
        <v>264</v>
      </c>
      <c r="H174" s="231">
        <v>0.04</v>
      </c>
      <c r="I174" s="229" t="s">
        <v>264</v>
      </c>
      <c r="J174" s="231">
        <v>0.04</v>
      </c>
      <c r="K174" s="229"/>
      <c r="L174" s="231"/>
      <c r="M174" s="229"/>
      <c r="N174" s="231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T174" s="99"/>
      <c r="BU174" s="99"/>
      <c r="BV174" s="99"/>
      <c r="BW174" s="99"/>
      <c r="BX174" s="99"/>
      <c r="BY174" s="99"/>
      <c r="BZ174" s="99"/>
      <c r="CA174" s="99"/>
      <c r="CB174" s="99"/>
      <c r="CC174" s="99"/>
      <c r="CD174" s="99"/>
      <c r="CE174" s="99"/>
      <c r="CF174" s="99"/>
      <c r="CG174" s="99"/>
      <c r="CH174" s="99"/>
      <c r="CI174" s="99"/>
      <c r="CJ174" s="99"/>
      <c r="CK174" s="99"/>
      <c r="CL174" s="99"/>
      <c r="CM174" s="99"/>
      <c r="CN174" s="99"/>
      <c r="CO174" s="99"/>
      <c r="CP174" s="99"/>
      <c r="CQ174" s="99"/>
      <c r="CR174" s="99"/>
      <c r="CS174" s="99"/>
      <c r="CT174" s="99"/>
      <c r="CU174" s="99"/>
      <c r="CV174" s="99"/>
      <c r="CW174" s="99"/>
      <c r="CX174" s="99"/>
      <c r="CY174" s="99"/>
      <c r="CZ174" s="99"/>
      <c r="DA174" s="99"/>
      <c r="DB174" s="99"/>
      <c r="DC174" s="99"/>
      <c r="DD174" s="99"/>
      <c r="DE174" s="99"/>
      <c r="DF174" s="99"/>
      <c r="DG174" s="99"/>
      <c r="DH174" s="99"/>
      <c r="DI174" s="99"/>
      <c r="DJ174" s="99"/>
      <c r="DK174" s="99"/>
      <c r="DL174" s="99"/>
      <c r="DM174" s="99"/>
      <c r="DN174" s="99"/>
      <c r="DO174" s="99"/>
      <c r="DP174" s="99"/>
      <c r="DQ174" s="99"/>
      <c r="DR174" s="99"/>
      <c r="DS174" s="99"/>
      <c r="DT174" s="99"/>
      <c r="DU174" s="99"/>
      <c r="DV174" s="99"/>
      <c r="DW174" s="99"/>
      <c r="DX174" s="99"/>
      <c r="DY174" s="99"/>
      <c r="DZ174" s="99"/>
      <c r="EA174" s="99"/>
      <c r="EB174" s="99"/>
      <c r="EC174" s="99"/>
      <c r="ED174" s="99"/>
      <c r="EE174" s="99"/>
      <c r="EF174" s="99"/>
      <c r="EG174" s="99"/>
      <c r="EH174" s="99"/>
      <c r="EI174" s="99"/>
      <c r="EJ174" s="99"/>
      <c r="EK174" s="99"/>
      <c r="EL174" s="99"/>
      <c r="EM174" s="99"/>
      <c r="EN174" s="99"/>
      <c r="EO174" s="99"/>
      <c r="EP174" s="99"/>
      <c r="EQ174" s="99"/>
      <c r="ER174" s="99"/>
      <c r="ES174" s="99"/>
      <c r="ET174" s="99"/>
      <c r="EU174" s="99"/>
      <c r="EV174" s="99"/>
      <c r="EW174" s="99"/>
      <c r="EX174" s="99"/>
      <c r="EY174" s="99"/>
      <c r="EZ174" s="99"/>
      <c r="FA174" s="99"/>
      <c r="FB174" s="99"/>
      <c r="FC174" s="99"/>
      <c r="FD174" s="99"/>
      <c r="FE174" s="99"/>
      <c r="FF174" s="99"/>
      <c r="FG174" s="99"/>
      <c r="FH174" s="99"/>
      <c r="FI174" s="99"/>
      <c r="FJ174" s="99"/>
      <c r="FK174" s="99"/>
      <c r="FL174" s="99"/>
      <c r="FM174" s="99"/>
      <c r="FN174" s="99"/>
      <c r="FO174" s="99"/>
      <c r="FP174" s="99"/>
      <c r="FQ174" s="99"/>
      <c r="FR174" s="99"/>
      <c r="FS174" s="99"/>
      <c r="FT174" s="99"/>
      <c r="FU174" s="99"/>
      <c r="FV174" s="99"/>
      <c r="FW174" s="99"/>
      <c r="FX174" s="99"/>
      <c r="FY174" s="99"/>
      <c r="FZ174" s="99"/>
      <c r="GA174" s="99"/>
      <c r="GB174" s="99"/>
      <c r="GC174" s="99"/>
      <c r="GD174" s="99"/>
      <c r="GE174" s="99"/>
      <c r="GF174" s="99"/>
      <c r="GG174" s="99"/>
      <c r="GH174" s="99"/>
      <c r="GI174" s="99"/>
      <c r="GJ174" s="99"/>
      <c r="GK174" s="99"/>
      <c r="GL174" s="99"/>
      <c r="GM174" s="99"/>
      <c r="GN174" s="99"/>
      <c r="GO174" s="99"/>
      <c r="GP174" s="99"/>
      <c r="GQ174" s="99"/>
      <c r="GR174" s="99"/>
      <c r="GS174" s="99"/>
      <c r="GT174" s="99"/>
      <c r="GU174" s="99"/>
      <c r="GV174" s="99"/>
      <c r="GW174" s="99"/>
      <c r="GX174" s="99"/>
      <c r="GY174" s="99"/>
      <c r="GZ174" s="99"/>
      <c r="HA174" s="99"/>
      <c r="HB174" s="99"/>
      <c r="HC174" s="99"/>
      <c r="HD174" s="99"/>
      <c r="HE174" s="99"/>
      <c r="HF174" s="99"/>
      <c r="HG174" s="99"/>
      <c r="HH174" s="99"/>
      <c r="HI174" s="99"/>
      <c r="HJ174" s="99"/>
      <c r="HK174" s="99"/>
      <c r="HL174" s="99"/>
      <c r="HM174" s="99"/>
      <c r="HN174" s="99"/>
      <c r="HO174" s="99"/>
      <c r="HP174" s="99"/>
      <c r="HQ174" s="99"/>
      <c r="HR174" s="99"/>
      <c r="HS174" s="99"/>
      <c r="HT174" s="99"/>
      <c r="HU174" s="99"/>
      <c r="HV174" s="99"/>
      <c r="HW174" s="99"/>
      <c r="HX174" s="99"/>
      <c r="HY174" s="99"/>
      <c r="HZ174" s="99"/>
      <c r="IA174" s="99"/>
      <c r="IB174" s="99"/>
      <c r="IC174" s="99"/>
      <c r="ID174" s="99"/>
      <c r="IE174" s="99"/>
      <c r="IF174" s="99"/>
      <c r="IG174" s="99"/>
      <c r="IH174" s="99"/>
      <c r="II174" s="99"/>
      <c r="IJ174" s="99"/>
    </row>
    <row r="175" spans="1:254" ht="31.5">
      <c r="A175" s="117"/>
      <c r="B175" s="207" t="s">
        <v>292</v>
      </c>
      <c r="C175" s="224" t="s">
        <v>251</v>
      </c>
      <c r="D175" s="137" t="s">
        <v>563</v>
      </c>
      <c r="E175" s="138">
        <v>0.48</v>
      </c>
      <c r="F175" s="225"/>
      <c r="G175" s="172" t="s">
        <v>264</v>
      </c>
      <c r="H175" s="138">
        <v>0.48</v>
      </c>
      <c r="I175" s="172" t="s">
        <v>264</v>
      </c>
      <c r="J175" s="138">
        <v>0.48</v>
      </c>
      <c r="K175" s="172"/>
      <c r="L175" s="138"/>
      <c r="M175" s="172"/>
      <c r="N175" s="138"/>
      <c r="O175" s="99">
        <f>0.55*0.3*2+0.25*0.3*2</f>
        <v>0.48</v>
      </c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  <c r="BK175" s="99"/>
      <c r="BL175" s="99"/>
      <c r="BM175" s="99"/>
      <c r="BN175" s="99"/>
      <c r="BO175" s="99"/>
      <c r="BP175" s="99"/>
      <c r="BQ175" s="99"/>
      <c r="BR175" s="99"/>
      <c r="BS175" s="99"/>
      <c r="BT175" s="99"/>
      <c r="BU175" s="99"/>
      <c r="BV175" s="99"/>
      <c r="BW175" s="99"/>
      <c r="BX175" s="99"/>
      <c r="BY175" s="99"/>
      <c r="BZ175" s="99"/>
      <c r="CA175" s="99"/>
      <c r="CB175" s="99"/>
      <c r="CC175" s="99"/>
      <c r="CD175" s="99"/>
      <c r="CE175" s="99"/>
      <c r="CF175" s="99"/>
      <c r="CG175" s="99"/>
      <c r="CH175" s="99"/>
      <c r="CI175" s="99"/>
      <c r="CJ175" s="99"/>
      <c r="CK175" s="99"/>
      <c r="CL175" s="99"/>
      <c r="CM175" s="99"/>
      <c r="CN175" s="99"/>
      <c r="CO175" s="99"/>
      <c r="CP175" s="99"/>
      <c r="CQ175" s="99"/>
      <c r="CR175" s="99"/>
      <c r="CS175" s="99"/>
      <c r="CT175" s="99"/>
      <c r="CU175" s="99"/>
      <c r="CV175" s="99"/>
      <c r="CW175" s="99"/>
      <c r="CX175" s="99"/>
      <c r="CY175" s="99"/>
      <c r="CZ175" s="99"/>
      <c r="DA175" s="99"/>
      <c r="DB175" s="99"/>
      <c r="DC175" s="99"/>
      <c r="DD175" s="99"/>
      <c r="DE175" s="99"/>
      <c r="DF175" s="99"/>
      <c r="DG175" s="99"/>
      <c r="DH175" s="99"/>
      <c r="DI175" s="99"/>
      <c r="DJ175" s="99"/>
      <c r="DK175" s="99"/>
      <c r="DL175" s="99"/>
      <c r="DM175" s="99"/>
      <c r="DN175" s="99"/>
      <c r="DO175" s="99"/>
      <c r="DP175" s="99"/>
      <c r="DQ175" s="99"/>
      <c r="DR175" s="99"/>
      <c r="DS175" s="99"/>
      <c r="DT175" s="99"/>
      <c r="DU175" s="99"/>
      <c r="DV175" s="99"/>
      <c r="DW175" s="99"/>
      <c r="DX175" s="99"/>
      <c r="DY175" s="99"/>
      <c r="DZ175" s="99"/>
      <c r="EA175" s="99"/>
      <c r="EB175" s="99"/>
      <c r="EC175" s="99"/>
      <c r="ED175" s="99"/>
      <c r="EE175" s="99"/>
      <c r="EF175" s="99"/>
      <c r="EG175" s="99"/>
      <c r="EH175" s="99"/>
      <c r="EI175" s="99"/>
      <c r="EJ175" s="99"/>
      <c r="EK175" s="99"/>
      <c r="EL175" s="99"/>
      <c r="EM175" s="99"/>
      <c r="EN175" s="99"/>
      <c r="EO175" s="99"/>
      <c r="EP175" s="99"/>
      <c r="EQ175" s="99"/>
      <c r="ER175" s="99"/>
      <c r="ES175" s="99"/>
      <c r="ET175" s="99"/>
      <c r="EU175" s="99"/>
      <c r="EV175" s="99"/>
      <c r="EW175" s="99"/>
      <c r="EX175" s="99"/>
      <c r="EY175" s="99"/>
      <c r="EZ175" s="99"/>
      <c r="FA175" s="99"/>
      <c r="FB175" s="99"/>
      <c r="FC175" s="99"/>
      <c r="FD175" s="99"/>
      <c r="FE175" s="99"/>
      <c r="FF175" s="99"/>
      <c r="FG175" s="99"/>
      <c r="FH175" s="99"/>
      <c r="FI175" s="99"/>
      <c r="FJ175" s="99"/>
      <c r="FK175" s="99"/>
      <c r="FL175" s="99"/>
      <c r="FM175" s="99"/>
      <c r="FN175" s="99"/>
      <c r="FO175" s="99"/>
      <c r="FP175" s="99"/>
      <c r="FQ175" s="99"/>
      <c r="FR175" s="99"/>
      <c r="FS175" s="99"/>
      <c r="FT175" s="99"/>
      <c r="FU175" s="99"/>
      <c r="FV175" s="99"/>
      <c r="FW175" s="99"/>
      <c r="FX175" s="99"/>
      <c r="FY175" s="99"/>
      <c r="FZ175" s="99"/>
      <c r="GA175" s="99"/>
      <c r="GB175" s="99"/>
      <c r="GC175" s="99"/>
      <c r="GD175" s="99"/>
      <c r="GE175" s="99"/>
      <c r="GF175" s="99"/>
      <c r="GG175" s="99"/>
      <c r="GH175" s="99"/>
      <c r="GI175" s="99"/>
      <c r="GJ175" s="99"/>
      <c r="GK175" s="99"/>
      <c r="GL175" s="99"/>
      <c r="GM175" s="99"/>
      <c r="GN175" s="99"/>
      <c r="GO175" s="99"/>
      <c r="GP175" s="99"/>
      <c r="GQ175" s="99"/>
      <c r="GR175" s="99"/>
      <c r="GS175" s="99"/>
      <c r="GT175" s="99"/>
      <c r="GU175" s="99"/>
      <c r="GV175" s="99"/>
      <c r="GW175" s="99"/>
      <c r="GX175" s="99"/>
      <c r="GY175" s="99"/>
      <c r="GZ175" s="99"/>
      <c r="HA175" s="99"/>
      <c r="HB175" s="99"/>
      <c r="HC175" s="99"/>
      <c r="HD175" s="99"/>
      <c r="HE175" s="99"/>
      <c r="HF175" s="99"/>
      <c r="HG175" s="99"/>
      <c r="HH175" s="99"/>
      <c r="HI175" s="99"/>
      <c r="HJ175" s="99"/>
      <c r="HK175" s="99"/>
      <c r="HL175" s="99"/>
      <c r="HM175" s="99"/>
      <c r="HN175" s="99"/>
      <c r="HO175" s="99"/>
      <c r="HP175" s="99"/>
      <c r="HQ175" s="99"/>
      <c r="HR175" s="99"/>
      <c r="HS175" s="99"/>
      <c r="HT175" s="99"/>
      <c r="HU175" s="99"/>
      <c r="HV175" s="99"/>
      <c r="HW175" s="99"/>
      <c r="HX175" s="99"/>
      <c r="HY175" s="99"/>
      <c r="HZ175" s="99"/>
      <c r="IA175" s="99"/>
      <c r="IB175" s="99"/>
      <c r="IC175" s="99"/>
      <c r="ID175" s="99"/>
      <c r="IE175" s="99"/>
      <c r="IF175" s="99"/>
      <c r="IG175" s="99"/>
      <c r="IH175" s="99"/>
      <c r="II175" s="99"/>
      <c r="IJ175" s="99"/>
      <c r="IT175" s="112"/>
    </row>
    <row r="176" spans="1:254" ht="94.5" customHeight="1">
      <c r="A176" s="117"/>
      <c r="B176" s="369" t="s">
        <v>293</v>
      </c>
      <c r="C176" s="306" t="s">
        <v>262</v>
      </c>
      <c r="D176" s="370" t="s">
        <v>563</v>
      </c>
      <c r="E176" s="371">
        <v>0.13800000000000001</v>
      </c>
      <c r="F176" s="372"/>
      <c r="G176" s="373" t="s">
        <v>264</v>
      </c>
      <c r="H176" s="371">
        <v>0.13800000000000001</v>
      </c>
      <c r="I176" s="373" t="s">
        <v>264</v>
      </c>
      <c r="J176" s="371">
        <v>0.13800000000000001</v>
      </c>
      <c r="K176" s="373"/>
      <c r="L176" s="371"/>
      <c r="M176" s="373"/>
      <c r="N176" s="371"/>
      <c r="O176" s="99">
        <f>0.55*0.25</f>
        <v>0.13750000000000001</v>
      </c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  <c r="AY176" s="99"/>
      <c r="AZ176" s="99"/>
      <c r="BA176" s="99"/>
      <c r="BB176" s="99"/>
      <c r="BC176" s="99"/>
      <c r="BD176" s="99"/>
      <c r="BE176" s="99"/>
      <c r="BF176" s="99"/>
      <c r="BG176" s="99"/>
      <c r="BH176" s="99"/>
      <c r="BI176" s="99"/>
      <c r="BJ176" s="99"/>
      <c r="BK176" s="99"/>
      <c r="BL176" s="99"/>
      <c r="BM176" s="99"/>
      <c r="BN176" s="99"/>
      <c r="BO176" s="99"/>
      <c r="BP176" s="99"/>
      <c r="BQ176" s="99"/>
      <c r="BR176" s="99"/>
      <c r="BS176" s="99"/>
      <c r="BT176" s="99"/>
      <c r="BU176" s="99"/>
      <c r="BV176" s="99"/>
      <c r="BW176" s="99"/>
      <c r="BX176" s="99"/>
      <c r="BY176" s="99"/>
      <c r="BZ176" s="99"/>
      <c r="CA176" s="99"/>
      <c r="CB176" s="99"/>
      <c r="CC176" s="99"/>
      <c r="CD176" s="99"/>
      <c r="CE176" s="99"/>
      <c r="CF176" s="99"/>
      <c r="CG176" s="99"/>
      <c r="CH176" s="99"/>
      <c r="CI176" s="99"/>
      <c r="CJ176" s="99"/>
      <c r="CK176" s="99"/>
      <c r="CL176" s="99"/>
      <c r="CM176" s="99"/>
      <c r="CN176" s="99"/>
      <c r="CO176" s="99"/>
      <c r="CP176" s="99"/>
      <c r="CQ176" s="99"/>
      <c r="CR176" s="99"/>
      <c r="CS176" s="99"/>
      <c r="CT176" s="99"/>
      <c r="CU176" s="99"/>
      <c r="CV176" s="99"/>
      <c r="CW176" s="99"/>
      <c r="CX176" s="99"/>
      <c r="CY176" s="99"/>
      <c r="CZ176" s="99"/>
      <c r="DA176" s="99"/>
      <c r="DB176" s="99"/>
      <c r="DC176" s="99"/>
      <c r="DD176" s="99"/>
      <c r="DE176" s="99"/>
      <c r="DF176" s="99"/>
      <c r="DG176" s="99"/>
      <c r="DH176" s="99"/>
      <c r="DI176" s="99"/>
      <c r="DJ176" s="99"/>
      <c r="DK176" s="99"/>
      <c r="DL176" s="99"/>
      <c r="DM176" s="99"/>
      <c r="DN176" s="99"/>
      <c r="DO176" s="99"/>
      <c r="DP176" s="99"/>
      <c r="DQ176" s="99"/>
      <c r="DR176" s="99"/>
      <c r="DS176" s="99"/>
      <c r="DT176" s="99"/>
      <c r="DU176" s="99"/>
      <c r="DV176" s="99"/>
      <c r="DW176" s="99"/>
      <c r="DX176" s="99"/>
      <c r="DY176" s="99"/>
      <c r="DZ176" s="99"/>
      <c r="EA176" s="99"/>
      <c r="EB176" s="99"/>
      <c r="EC176" s="99"/>
      <c r="ED176" s="99"/>
      <c r="EE176" s="99"/>
      <c r="EF176" s="99"/>
      <c r="EG176" s="99"/>
      <c r="EH176" s="99"/>
      <c r="EI176" s="99"/>
      <c r="EJ176" s="99"/>
      <c r="EK176" s="99"/>
      <c r="EL176" s="99"/>
      <c r="EM176" s="99"/>
      <c r="EN176" s="99"/>
      <c r="EO176" s="99"/>
      <c r="EP176" s="99"/>
      <c r="EQ176" s="99"/>
      <c r="ER176" s="99"/>
      <c r="ES176" s="99"/>
      <c r="ET176" s="99"/>
      <c r="EU176" s="99"/>
      <c r="EV176" s="99"/>
      <c r="EW176" s="99"/>
      <c r="EX176" s="99"/>
      <c r="EY176" s="99"/>
      <c r="EZ176" s="99"/>
      <c r="FA176" s="99"/>
      <c r="FB176" s="99"/>
      <c r="FC176" s="99"/>
      <c r="FD176" s="99"/>
      <c r="FE176" s="99"/>
      <c r="FF176" s="99"/>
      <c r="FG176" s="99"/>
      <c r="FH176" s="99"/>
      <c r="FI176" s="99"/>
      <c r="FJ176" s="99"/>
      <c r="FK176" s="99"/>
      <c r="FL176" s="99"/>
      <c r="FM176" s="99"/>
      <c r="FN176" s="99"/>
      <c r="FO176" s="99"/>
      <c r="FP176" s="99"/>
      <c r="FQ176" s="99"/>
      <c r="FR176" s="99"/>
      <c r="FS176" s="99"/>
      <c r="FT176" s="99"/>
      <c r="FU176" s="99"/>
      <c r="FV176" s="99"/>
      <c r="FW176" s="99"/>
      <c r="FX176" s="99"/>
      <c r="FY176" s="99"/>
      <c r="FZ176" s="99"/>
      <c r="GA176" s="99"/>
      <c r="GB176" s="99"/>
      <c r="GC176" s="99"/>
      <c r="GD176" s="99"/>
      <c r="GE176" s="99"/>
      <c r="GF176" s="99"/>
      <c r="GG176" s="99"/>
      <c r="GH176" s="99"/>
      <c r="GI176" s="99"/>
      <c r="GJ176" s="99"/>
      <c r="GK176" s="99"/>
      <c r="GL176" s="99"/>
      <c r="GM176" s="99"/>
      <c r="GN176" s="99"/>
      <c r="GO176" s="99"/>
      <c r="GP176" s="99"/>
      <c r="GQ176" s="99"/>
      <c r="GR176" s="99"/>
      <c r="GS176" s="99"/>
      <c r="GT176" s="99"/>
      <c r="GU176" s="99"/>
      <c r="GV176" s="99"/>
      <c r="GW176" s="99"/>
      <c r="GX176" s="99"/>
      <c r="GY176" s="99"/>
      <c r="GZ176" s="99"/>
      <c r="HA176" s="99"/>
      <c r="HB176" s="99"/>
      <c r="HC176" s="99"/>
      <c r="HD176" s="99"/>
      <c r="HE176" s="99"/>
      <c r="HF176" s="99"/>
      <c r="HG176" s="99"/>
      <c r="HH176" s="99"/>
      <c r="HI176" s="99"/>
      <c r="HJ176" s="99"/>
      <c r="HK176" s="99"/>
      <c r="HL176" s="99"/>
      <c r="HM176" s="99"/>
      <c r="HN176" s="99"/>
      <c r="HO176" s="99"/>
      <c r="HP176" s="99"/>
      <c r="HQ176" s="99"/>
      <c r="HR176" s="99"/>
      <c r="HS176" s="99"/>
      <c r="HT176" s="99"/>
      <c r="HU176" s="99"/>
      <c r="HV176" s="99"/>
      <c r="HW176" s="99"/>
      <c r="HX176" s="99"/>
      <c r="HY176" s="99"/>
      <c r="HZ176" s="99"/>
      <c r="IA176" s="99"/>
      <c r="IB176" s="99"/>
      <c r="IC176" s="99"/>
      <c r="ID176" s="99"/>
      <c r="IE176" s="99"/>
      <c r="IF176" s="99"/>
      <c r="IG176" s="99"/>
      <c r="IH176" s="99"/>
      <c r="II176" s="99"/>
      <c r="IJ176" s="99"/>
      <c r="IT176" s="112"/>
    </row>
    <row r="177" spans="1:254" ht="32.25" thickBot="1">
      <c r="A177" s="117"/>
      <c r="B177" s="349"/>
      <c r="C177" s="361" t="s">
        <v>324</v>
      </c>
      <c r="D177" s="349"/>
      <c r="E177" s="362"/>
      <c r="F177" s="363"/>
      <c r="G177" s="364"/>
      <c r="H177" s="362"/>
      <c r="I177" s="364"/>
      <c r="J177" s="362"/>
      <c r="K177" s="365"/>
      <c r="L177" s="362"/>
      <c r="M177" s="365"/>
      <c r="N177" s="362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  <c r="AY177" s="99"/>
      <c r="AZ177" s="99"/>
      <c r="BA177" s="99"/>
      <c r="BB177" s="99"/>
      <c r="BC177" s="99"/>
      <c r="BD177" s="99"/>
      <c r="BE177" s="99"/>
      <c r="BF177" s="99"/>
      <c r="BG177" s="99"/>
      <c r="BH177" s="99"/>
      <c r="BI177" s="99"/>
      <c r="BJ177" s="99"/>
      <c r="BK177" s="99"/>
      <c r="BL177" s="99"/>
      <c r="BM177" s="99"/>
      <c r="BN177" s="99"/>
      <c r="BO177" s="99"/>
      <c r="BP177" s="99"/>
      <c r="BQ177" s="99"/>
      <c r="BR177" s="99"/>
      <c r="BS177" s="99"/>
      <c r="BT177" s="99"/>
      <c r="BU177" s="99"/>
      <c r="BV177" s="99"/>
      <c r="BW177" s="99"/>
      <c r="BX177" s="99"/>
      <c r="BY177" s="99"/>
      <c r="BZ177" s="99"/>
      <c r="CA177" s="99"/>
      <c r="CB177" s="99"/>
      <c r="CC177" s="99"/>
      <c r="CD177" s="99"/>
      <c r="CE177" s="99"/>
      <c r="CF177" s="99"/>
      <c r="CG177" s="99"/>
      <c r="CH177" s="99"/>
      <c r="CI177" s="99"/>
      <c r="CJ177" s="99"/>
      <c r="CK177" s="99"/>
      <c r="CL177" s="99"/>
      <c r="CM177" s="99"/>
      <c r="CN177" s="99"/>
      <c r="CO177" s="99"/>
      <c r="CP177" s="99"/>
      <c r="CQ177" s="99"/>
      <c r="CR177" s="99"/>
      <c r="CS177" s="99"/>
      <c r="CT177" s="99"/>
      <c r="CU177" s="99"/>
      <c r="CV177" s="99"/>
      <c r="CW177" s="99"/>
      <c r="CX177" s="99"/>
      <c r="CY177" s="99"/>
      <c r="CZ177" s="99"/>
      <c r="DA177" s="99"/>
      <c r="DB177" s="99"/>
      <c r="DC177" s="99"/>
      <c r="DD177" s="99"/>
      <c r="DE177" s="99"/>
      <c r="DF177" s="99"/>
      <c r="DG177" s="99"/>
      <c r="DH177" s="99"/>
      <c r="DI177" s="99"/>
      <c r="DJ177" s="99"/>
      <c r="DK177" s="99"/>
      <c r="DL177" s="99"/>
      <c r="DM177" s="99"/>
      <c r="DN177" s="99"/>
      <c r="DO177" s="99"/>
      <c r="DP177" s="99"/>
      <c r="DQ177" s="99"/>
      <c r="DR177" s="99"/>
      <c r="DS177" s="99"/>
      <c r="DT177" s="99"/>
      <c r="DU177" s="99"/>
      <c r="DV177" s="99"/>
      <c r="DW177" s="99"/>
      <c r="DX177" s="99"/>
      <c r="DY177" s="99"/>
      <c r="DZ177" s="99"/>
      <c r="EA177" s="99"/>
      <c r="EB177" s="99"/>
      <c r="EC177" s="99"/>
      <c r="ED177" s="99"/>
      <c r="EE177" s="99"/>
      <c r="EF177" s="99"/>
      <c r="EG177" s="99"/>
      <c r="EH177" s="99"/>
      <c r="EI177" s="99"/>
      <c r="EJ177" s="99"/>
      <c r="EK177" s="99"/>
      <c r="EL177" s="99"/>
      <c r="EM177" s="99"/>
      <c r="EN177" s="99"/>
      <c r="EO177" s="99"/>
      <c r="EP177" s="99"/>
      <c r="EQ177" s="99"/>
      <c r="ER177" s="99"/>
      <c r="ES177" s="99"/>
      <c r="ET177" s="99"/>
      <c r="EU177" s="99"/>
      <c r="EV177" s="99"/>
      <c r="EW177" s="99"/>
      <c r="EX177" s="99"/>
      <c r="EY177" s="99"/>
      <c r="EZ177" s="99"/>
      <c r="FA177" s="99"/>
      <c r="FB177" s="99"/>
      <c r="FC177" s="99"/>
      <c r="FD177" s="99"/>
      <c r="FE177" s="99"/>
      <c r="FF177" s="99"/>
      <c r="FG177" s="99"/>
      <c r="FH177" s="99"/>
      <c r="FI177" s="99"/>
      <c r="FJ177" s="99"/>
      <c r="FK177" s="99"/>
      <c r="FL177" s="99"/>
      <c r="FM177" s="99"/>
      <c r="FN177" s="99"/>
      <c r="FO177" s="99"/>
      <c r="FP177" s="99"/>
      <c r="FQ177" s="99"/>
      <c r="FR177" s="99"/>
      <c r="FS177" s="99"/>
      <c r="FT177" s="99"/>
      <c r="FU177" s="99"/>
      <c r="FV177" s="99"/>
      <c r="FW177" s="99"/>
      <c r="FX177" s="99"/>
      <c r="FY177" s="99"/>
      <c r="FZ177" s="99"/>
      <c r="GA177" s="99"/>
      <c r="GB177" s="99"/>
      <c r="GC177" s="99"/>
      <c r="GD177" s="99"/>
      <c r="GE177" s="99"/>
      <c r="GF177" s="99"/>
      <c r="GG177" s="99"/>
      <c r="GH177" s="99"/>
      <c r="GI177" s="99"/>
      <c r="GJ177" s="99"/>
      <c r="GK177" s="99"/>
      <c r="GL177" s="99"/>
      <c r="GM177" s="99"/>
      <c r="GN177" s="99"/>
      <c r="GO177" s="99"/>
      <c r="GP177" s="99"/>
      <c r="GQ177" s="99"/>
      <c r="GR177" s="99"/>
      <c r="GS177" s="99"/>
      <c r="GT177" s="99"/>
      <c r="GU177" s="99"/>
      <c r="GV177" s="99"/>
      <c r="GW177" s="99"/>
      <c r="GX177" s="99"/>
      <c r="GY177" s="99"/>
      <c r="GZ177" s="99"/>
      <c r="HA177" s="99"/>
      <c r="HB177" s="99"/>
      <c r="HC177" s="99"/>
      <c r="HD177" s="99"/>
      <c r="HE177" s="99"/>
      <c r="HF177" s="99"/>
      <c r="HG177" s="99"/>
      <c r="HH177" s="99"/>
      <c r="HI177" s="99"/>
      <c r="HJ177" s="99"/>
      <c r="HK177" s="99"/>
      <c r="HL177" s="99"/>
      <c r="HM177" s="99"/>
      <c r="HN177" s="99"/>
      <c r="HO177" s="99"/>
      <c r="HP177" s="99"/>
      <c r="HQ177" s="99"/>
      <c r="HR177" s="99"/>
      <c r="HS177" s="99"/>
      <c r="HT177" s="99"/>
      <c r="HU177" s="99"/>
      <c r="HV177" s="99"/>
      <c r="HW177" s="99"/>
      <c r="HX177" s="99"/>
      <c r="HY177" s="99"/>
      <c r="HZ177" s="99"/>
      <c r="IA177" s="99"/>
      <c r="IB177" s="99"/>
      <c r="IC177" s="99"/>
      <c r="ID177" s="99"/>
      <c r="IE177" s="99"/>
      <c r="IF177" s="99"/>
      <c r="IG177" s="99"/>
      <c r="IH177" s="99"/>
      <c r="II177" s="99"/>
      <c r="IJ177" s="99"/>
    </row>
    <row r="178" spans="1:254" ht="31.5">
      <c r="A178" s="117"/>
      <c r="B178" s="185" t="s">
        <v>317</v>
      </c>
      <c r="C178" s="206" t="s">
        <v>322</v>
      </c>
      <c r="D178" s="265" t="s">
        <v>141</v>
      </c>
      <c r="E178" s="211">
        <v>1.2E-2</v>
      </c>
      <c r="F178" s="342"/>
      <c r="G178" s="211" t="s">
        <v>264</v>
      </c>
      <c r="H178" s="211">
        <v>1.2E-2</v>
      </c>
      <c r="I178" s="211" t="s">
        <v>264</v>
      </c>
      <c r="J178" s="211">
        <v>1.2E-2</v>
      </c>
      <c r="K178" s="173"/>
      <c r="L178" s="211"/>
      <c r="M178" s="173"/>
      <c r="N178" s="211"/>
      <c r="O178" s="99">
        <f>(3*0.54+8*1.3)/1000</f>
        <v>1.2019999999999999E-2</v>
      </c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  <c r="AY178" s="99"/>
      <c r="AZ178" s="99"/>
      <c r="BA178" s="99"/>
      <c r="BB178" s="99"/>
      <c r="BC178" s="99"/>
      <c r="BD178" s="99"/>
      <c r="BE178" s="99"/>
      <c r="BF178" s="99"/>
      <c r="BG178" s="99"/>
      <c r="BH178" s="99"/>
      <c r="BI178" s="99"/>
      <c r="BJ178" s="99"/>
      <c r="BK178" s="99"/>
      <c r="BL178" s="99"/>
      <c r="BM178" s="99"/>
      <c r="BN178" s="99"/>
      <c r="BO178" s="99"/>
      <c r="BP178" s="99"/>
      <c r="BQ178" s="99"/>
      <c r="BR178" s="99"/>
      <c r="BS178" s="99"/>
      <c r="BT178" s="99"/>
      <c r="BU178" s="99"/>
      <c r="BV178" s="99"/>
      <c r="BW178" s="99"/>
      <c r="BX178" s="99"/>
      <c r="BY178" s="99"/>
      <c r="BZ178" s="99"/>
      <c r="CA178" s="99"/>
      <c r="CB178" s="99"/>
      <c r="CC178" s="99"/>
      <c r="CD178" s="99"/>
      <c r="CE178" s="99"/>
      <c r="CF178" s="99"/>
      <c r="CG178" s="99"/>
      <c r="CH178" s="99"/>
      <c r="CI178" s="99"/>
      <c r="CJ178" s="99"/>
      <c r="CK178" s="99"/>
      <c r="CL178" s="99"/>
      <c r="CM178" s="99"/>
      <c r="CN178" s="99"/>
      <c r="CO178" s="99"/>
      <c r="CP178" s="99"/>
      <c r="CQ178" s="99"/>
      <c r="CR178" s="99"/>
      <c r="CS178" s="99"/>
      <c r="CT178" s="99"/>
      <c r="CU178" s="99"/>
      <c r="CV178" s="99"/>
      <c r="CW178" s="99"/>
      <c r="CX178" s="99"/>
      <c r="CY178" s="99"/>
      <c r="CZ178" s="99"/>
      <c r="DA178" s="99"/>
      <c r="DB178" s="99"/>
      <c r="DC178" s="99"/>
      <c r="DD178" s="99"/>
      <c r="DE178" s="99"/>
      <c r="DF178" s="99"/>
      <c r="DG178" s="99"/>
      <c r="DH178" s="99"/>
      <c r="DI178" s="99"/>
      <c r="DJ178" s="99"/>
      <c r="DK178" s="99"/>
      <c r="DL178" s="99"/>
      <c r="DM178" s="99"/>
      <c r="DN178" s="99"/>
      <c r="DO178" s="99"/>
      <c r="DP178" s="99"/>
      <c r="DQ178" s="99"/>
      <c r="DR178" s="99"/>
      <c r="DS178" s="99"/>
      <c r="DT178" s="99"/>
      <c r="DU178" s="99"/>
      <c r="DV178" s="99"/>
      <c r="DW178" s="99"/>
      <c r="DX178" s="99"/>
      <c r="DY178" s="99"/>
      <c r="DZ178" s="99"/>
      <c r="EA178" s="99"/>
      <c r="EB178" s="99"/>
      <c r="EC178" s="99"/>
      <c r="ED178" s="99"/>
      <c r="EE178" s="99"/>
      <c r="EF178" s="99"/>
      <c r="EG178" s="99"/>
      <c r="EH178" s="99"/>
      <c r="EI178" s="99"/>
      <c r="EJ178" s="99"/>
      <c r="EK178" s="99"/>
      <c r="EL178" s="99"/>
      <c r="EM178" s="99"/>
      <c r="EN178" s="99"/>
      <c r="EO178" s="99"/>
      <c r="EP178" s="99"/>
      <c r="EQ178" s="99"/>
      <c r="ER178" s="99"/>
      <c r="ES178" s="99"/>
      <c r="ET178" s="99"/>
      <c r="EU178" s="99"/>
      <c r="EV178" s="99"/>
      <c r="EW178" s="99"/>
      <c r="EX178" s="99"/>
      <c r="EY178" s="99"/>
      <c r="EZ178" s="99"/>
      <c r="FA178" s="99"/>
      <c r="FB178" s="99"/>
      <c r="FC178" s="99"/>
      <c r="FD178" s="99"/>
      <c r="FE178" s="99"/>
      <c r="FF178" s="99"/>
      <c r="FG178" s="99"/>
      <c r="FH178" s="99"/>
      <c r="FI178" s="99"/>
      <c r="FJ178" s="99"/>
      <c r="FK178" s="99"/>
      <c r="FL178" s="99"/>
      <c r="FM178" s="99"/>
      <c r="FN178" s="99"/>
      <c r="FO178" s="99"/>
      <c r="FP178" s="99"/>
      <c r="FQ178" s="99"/>
      <c r="FR178" s="99"/>
      <c r="FS178" s="99"/>
      <c r="FT178" s="99"/>
      <c r="FU178" s="99"/>
      <c r="FV178" s="99"/>
      <c r="FW178" s="99"/>
      <c r="FX178" s="99"/>
      <c r="FY178" s="99"/>
      <c r="FZ178" s="99"/>
      <c r="GA178" s="99"/>
      <c r="GB178" s="99"/>
      <c r="GC178" s="99"/>
      <c r="GD178" s="99"/>
      <c r="GE178" s="99"/>
      <c r="GF178" s="99"/>
      <c r="GG178" s="99"/>
      <c r="GH178" s="99"/>
      <c r="GI178" s="99"/>
      <c r="GJ178" s="99"/>
      <c r="GK178" s="99"/>
      <c r="GL178" s="99"/>
      <c r="GM178" s="99"/>
      <c r="GN178" s="99"/>
      <c r="GO178" s="99"/>
      <c r="GP178" s="99"/>
      <c r="GQ178" s="99"/>
      <c r="GR178" s="99"/>
      <c r="GS178" s="99"/>
      <c r="GT178" s="99"/>
      <c r="GU178" s="99"/>
      <c r="GV178" s="99"/>
      <c r="GW178" s="99"/>
      <c r="GX178" s="99"/>
      <c r="GY178" s="99"/>
      <c r="GZ178" s="99"/>
      <c r="HA178" s="99"/>
      <c r="HB178" s="99"/>
      <c r="HC178" s="99"/>
      <c r="HD178" s="99"/>
      <c r="HE178" s="99"/>
      <c r="HF178" s="99"/>
      <c r="HG178" s="99"/>
      <c r="HH178" s="99"/>
      <c r="HI178" s="99"/>
      <c r="HJ178" s="99"/>
      <c r="HK178" s="99"/>
      <c r="HL178" s="99"/>
      <c r="HM178" s="99"/>
      <c r="HN178" s="99"/>
      <c r="HO178" s="99"/>
      <c r="HP178" s="99"/>
      <c r="HQ178" s="99"/>
      <c r="HR178" s="99"/>
      <c r="HS178" s="99"/>
      <c r="HT178" s="99"/>
      <c r="HU178" s="99"/>
      <c r="HV178" s="99"/>
      <c r="HW178" s="99"/>
      <c r="HX178" s="99"/>
      <c r="HY178" s="99"/>
      <c r="HZ178" s="99"/>
      <c r="IA178" s="99"/>
      <c r="IB178" s="99"/>
      <c r="IC178" s="99"/>
      <c r="ID178" s="99"/>
      <c r="IE178" s="99"/>
      <c r="IF178" s="99"/>
      <c r="IG178" s="99"/>
      <c r="IH178" s="99"/>
      <c r="II178" s="99"/>
      <c r="IJ178" s="99"/>
    </row>
    <row r="179" spans="1:254" ht="31.5">
      <c r="A179" s="117"/>
      <c r="B179" s="309" t="s">
        <v>318</v>
      </c>
      <c r="C179" s="224" t="s">
        <v>323</v>
      </c>
      <c r="D179" s="137" t="s">
        <v>141</v>
      </c>
      <c r="E179" s="138">
        <v>5.0000000000000001E-3</v>
      </c>
      <c r="F179" s="165"/>
      <c r="G179" s="138" t="s">
        <v>264</v>
      </c>
      <c r="H179" s="138">
        <v>5.0000000000000001E-3</v>
      </c>
      <c r="I179" s="138" t="s">
        <v>264</v>
      </c>
      <c r="J179" s="138">
        <v>5.0000000000000001E-3</v>
      </c>
      <c r="K179" s="138"/>
      <c r="L179" s="138"/>
      <c r="M179" s="138"/>
      <c r="N179" s="138"/>
      <c r="O179" s="99">
        <f>5/1000</f>
        <v>5.0000000000000001E-3</v>
      </c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  <c r="AY179" s="99"/>
      <c r="AZ179" s="99"/>
      <c r="BA179" s="99"/>
      <c r="BB179" s="99"/>
      <c r="BC179" s="99"/>
      <c r="BD179" s="99"/>
      <c r="BE179" s="99"/>
      <c r="BF179" s="99"/>
      <c r="BG179" s="99"/>
      <c r="BH179" s="99"/>
      <c r="BI179" s="99"/>
      <c r="BJ179" s="99"/>
      <c r="BK179" s="99"/>
      <c r="BL179" s="99"/>
      <c r="BM179" s="99"/>
      <c r="BN179" s="99"/>
      <c r="BO179" s="99"/>
      <c r="BP179" s="99"/>
      <c r="BQ179" s="99"/>
      <c r="BR179" s="99"/>
      <c r="BS179" s="99"/>
      <c r="BT179" s="99"/>
      <c r="BU179" s="99"/>
      <c r="BV179" s="99"/>
      <c r="BW179" s="99"/>
      <c r="BX179" s="99"/>
      <c r="BY179" s="99"/>
      <c r="BZ179" s="99"/>
      <c r="CA179" s="99"/>
      <c r="CB179" s="99"/>
      <c r="CC179" s="99"/>
      <c r="CD179" s="99"/>
      <c r="CE179" s="99"/>
      <c r="CF179" s="99"/>
      <c r="CG179" s="99"/>
      <c r="CH179" s="99"/>
      <c r="CI179" s="99"/>
      <c r="CJ179" s="99"/>
      <c r="CK179" s="99"/>
      <c r="CL179" s="99"/>
      <c r="CM179" s="99"/>
      <c r="CN179" s="99"/>
      <c r="CO179" s="99"/>
      <c r="CP179" s="99"/>
      <c r="CQ179" s="99"/>
      <c r="CR179" s="99"/>
      <c r="CS179" s="99"/>
      <c r="CT179" s="99"/>
      <c r="CU179" s="99"/>
      <c r="CV179" s="99"/>
      <c r="CW179" s="99"/>
      <c r="CX179" s="99"/>
      <c r="CY179" s="99"/>
      <c r="CZ179" s="99"/>
      <c r="DA179" s="99"/>
      <c r="DB179" s="99"/>
      <c r="DC179" s="99"/>
      <c r="DD179" s="99"/>
      <c r="DE179" s="99"/>
      <c r="DF179" s="99"/>
      <c r="DG179" s="99"/>
      <c r="DH179" s="99"/>
      <c r="DI179" s="99"/>
      <c r="DJ179" s="99"/>
      <c r="DK179" s="99"/>
      <c r="DL179" s="99"/>
      <c r="DM179" s="99"/>
      <c r="DN179" s="99"/>
      <c r="DO179" s="99"/>
      <c r="DP179" s="99"/>
      <c r="DQ179" s="99"/>
      <c r="DR179" s="99"/>
      <c r="DS179" s="99"/>
      <c r="DT179" s="99"/>
      <c r="DU179" s="99"/>
      <c r="DV179" s="99"/>
      <c r="DW179" s="99"/>
      <c r="DX179" s="99"/>
      <c r="DY179" s="99"/>
      <c r="DZ179" s="99"/>
      <c r="EA179" s="99"/>
      <c r="EB179" s="99"/>
      <c r="EC179" s="99"/>
      <c r="ED179" s="99"/>
      <c r="EE179" s="99"/>
      <c r="EF179" s="99"/>
      <c r="EG179" s="99"/>
      <c r="EH179" s="99"/>
      <c r="EI179" s="99"/>
      <c r="EJ179" s="99"/>
      <c r="EK179" s="99"/>
      <c r="EL179" s="99"/>
      <c r="EM179" s="99"/>
      <c r="EN179" s="99"/>
      <c r="EO179" s="99"/>
      <c r="EP179" s="99"/>
      <c r="EQ179" s="99"/>
      <c r="ER179" s="99"/>
      <c r="ES179" s="99"/>
      <c r="ET179" s="99"/>
      <c r="EU179" s="99"/>
      <c r="EV179" s="99"/>
      <c r="EW179" s="99"/>
      <c r="EX179" s="99"/>
      <c r="EY179" s="99"/>
      <c r="EZ179" s="99"/>
      <c r="FA179" s="99"/>
      <c r="FB179" s="99"/>
      <c r="FC179" s="99"/>
      <c r="FD179" s="99"/>
      <c r="FE179" s="99"/>
      <c r="FF179" s="99"/>
      <c r="FG179" s="99"/>
      <c r="FH179" s="99"/>
      <c r="FI179" s="99"/>
      <c r="FJ179" s="99"/>
      <c r="FK179" s="99"/>
      <c r="FL179" s="99"/>
      <c r="FM179" s="99"/>
      <c r="FN179" s="99"/>
      <c r="FO179" s="99"/>
      <c r="FP179" s="99"/>
      <c r="FQ179" s="99"/>
      <c r="FR179" s="99"/>
      <c r="FS179" s="99"/>
      <c r="FT179" s="99"/>
      <c r="FU179" s="99"/>
      <c r="FV179" s="99"/>
      <c r="FW179" s="99"/>
      <c r="FX179" s="99"/>
      <c r="FY179" s="99"/>
      <c r="FZ179" s="99"/>
      <c r="GA179" s="99"/>
      <c r="GB179" s="99"/>
      <c r="GC179" s="99"/>
      <c r="GD179" s="99"/>
      <c r="GE179" s="99"/>
      <c r="GF179" s="99"/>
      <c r="GG179" s="99"/>
      <c r="GH179" s="99"/>
      <c r="GI179" s="99"/>
      <c r="GJ179" s="99"/>
      <c r="GK179" s="99"/>
      <c r="GL179" s="99"/>
      <c r="GM179" s="99"/>
      <c r="GN179" s="99"/>
      <c r="GO179" s="99"/>
      <c r="GP179" s="99"/>
      <c r="GQ179" s="99"/>
      <c r="GR179" s="99"/>
      <c r="GS179" s="99"/>
      <c r="GT179" s="99"/>
      <c r="GU179" s="99"/>
      <c r="GV179" s="99"/>
      <c r="GW179" s="99"/>
      <c r="GX179" s="99"/>
      <c r="GY179" s="99"/>
      <c r="GZ179" s="99"/>
      <c r="HA179" s="99"/>
      <c r="HB179" s="99"/>
      <c r="HC179" s="99"/>
      <c r="HD179" s="99"/>
      <c r="HE179" s="99"/>
      <c r="HF179" s="99"/>
      <c r="HG179" s="99"/>
      <c r="HH179" s="99"/>
      <c r="HI179" s="99"/>
      <c r="HJ179" s="99"/>
      <c r="HK179" s="99"/>
      <c r="HL179" s="99"/>
      <c r="HM179" s="99"/>
      <c r="HN179" s="99"/>
      <c r="HO179" s="99"/>
      <c r="HP179" s="99"/>
      <c r="HQ179" s="99"/>
      <c r="HR179" s="99"/>
      <c r="HS179" s="99"/>
      <c r="HT179" s="99"/>
      <c r="HU179" s="99"/>
      <c r="HV179" s="99"/>
      <c r="HW179" s="99"/>
      <c r="HX179" s="99"/>
      <c r="HY179" s="99"/>
      <c r="HZ179" s="99"/>
      <c r="IA179" s="99"/>
      <c r="IB179" s="99"/>
      <c r="IC179" s="99"/>
      <c r="ID179" s="99"/>
      <c r="IE179" s="99"/>
      <c r="IF179" s="99"/>
      <c r="IG179" s="99"/>
      <c r="IH179" s="99"/>
      <c r="II179" s="99"/>
      <c r="IJ179" s="99"/>
      <c r="IT179" s="112"/>
    </row>
    <row r="180" spans="1:254" ht="18.75">
      <c r="A180" s="117"/>
      <c r="B180" s="186" t="s">
        <v>319</v>
      </c>
      <c r="C180" s="208" t="s">
        <v>234</v>
      </c>
      <c r="D180" s="136" t="s">
        <v>560</v>
      </c>
      <c r="E180" s="223">
        <v>0.06</v>
      </c>
      <c r="F180" s="186"/>
      <c r="G180" s="223" t="s">
        <v>264</v>
      </c>
      <c r="H180" s="223">
        <v>0.06</v>
      </c>
      <c r="I180" s="223" t="s">
        <v>264</v>
      </c>
      <c r="J180" s="223">
        <v>0.06</v>
      </c>
      <c r="K180" s="222"/>
      <c r="L180" s="223"/>
      <c r="M180" s="222"/>
      <c r="N180" s="223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  <c r="AY180" s="99"/>
      <c r="AZ180" s="99"/>
      <c r="BA180" s="99"/>
      <c r="BB180" s="99"/>
      <c r="BC180" s="99"/>
      <c r="BD180" s="99"/>
      <c r="BE180" s="99"/>
      <c r="BF180" s="99"/>
      <c r="BG180" s="99"/>
      <c r="BH180" s="99"/>
      <c r="BI180" s="99"/>
      <c r="BJ180" s="99"/>
      <c r="BK180" s="99"/>
      <c r="BL180" s="99"/>
      <c r="BM180" s="99"/>
      <c r="BN180" s="99"/>
      <c r="BO180" s="99"/>
      <c r="BP180" s="99"/>
      <c r="BQ180" s="99"/>
      <c r="BR180" s="99"/>
      <c r="BS180" s="99"/>
      <c r="BT180" s="99"/>
      <c r="BU180" s="99"/>
      <c r="BV180" s="99"/>
      <c r="BW180" s="99"/>
      <c r="BX180" s="99"/>
      <c r="BY180" s="99"/>
      <c r="BZ180" s="99"/>
      <c r="CA180" s="99"/>
      <c r="CB180" s="99"/>
      <c r="CC180" s="99"/>
      <c r="CD180" s="99"/>
      <c r="CE180" s="99"/>
      <c r="CF180" s="99"/>
      <c r="CG180" s="99"/>
      <c r="CH180" s="99"/>
      <c r="CI180" s="99"/>
      <c r="CJ180" s="99"/>
      <c r="CK180" s="99"/>
      <c r="CL180" s="99"/>
      <c r="CM180" s="99"/>
      <c r="CN180" s="99"/>
      <c r="CO180" s="99"/>
      <c r="CP180" s="99"/>
      <c r="CQ180" s="99"/>
      <c r="CR180" s="99"/>
      <c r="CS180" s="99"/>
      <c r="CT180" s="99"/>
      <c r="CU180" s="99"/>
      <c r="CV180" s="99"/>
      <c r="CW180" s="99"/>
      <c r="CX180" s="99"/>
      <c r="CY180" s="99"/>
      <c r="CZ180" s="99"/>
      <c r="DA180" s="99"/>
      <c r="DB180" s="99"/>
      <c r="DC180" s="99"/>
      <c r="DD180" s="99"/>
      <c r="DE180" s="99"/>
      <c r="DF180" s="99"/>
      <c r="DG180" s="99"/>
      <c r="DH180" s="99"/>
      <c r="DI180" s="99"/>
      <c r="DJ180" s="99"/>
      <c r="DK180" s="99"/>
      <c r="DL180" s="99"/>
      <c r="DM180" s="99"/>
      <c r="DN180" s="99"/>
      <c r="DO180" s="99"/>
      <c r="DP180" s="99"/>
      <c r="DQ180" s="99"/>
      <c r="DR180" s="99"/>
      <c r="DS180" s="99"/>
      <c r="DT180" s="99"/>
      <c r="DU180" s="99"/>
      <c r="DV180" s="99"/>
      <c r="DW180" s="99"/>
      <c r="DX180" s="99"/>
      <c r="DY180" s="99"/>
      <c r="DZ180" s="99"/>
      <c r="EA180" s="99"/>
      <c r="EB180" s="99"/>
      <c r="EC180" s="99"/>
      <c r="ED180" s="99"/>
      <c r="EE180" s="99"/>
      <c r="EF180" s="99"/>
      <c r="EG180" s="99"/>
      <c r="EH180" s="99"/>
      <c r="EI180" s="99"/>
      <c r="EJ180" s="99"/>
      <c r="EK180" s="99"/>
      <c r="EL180" s="99"/>
      <c r="EM180" s="99"/>
      <c r="EN180" s="99"/>
      <c r="EO180" s="99"/>
      <c r="EP180" s="99"/>
      <c r="EQ180" s="99"/>
      <c r="ER180" s="99"/>
      <c r="ES180" s="99"/>
      <c r="ET180" s="99"/>
      <c r="EU180" s="99"/>
      <c r="EV180" s="99"/>
      <c r="EW180" s="99"/>
      <c r="EX180" s="99"/>
      <c r="EY180" s="99"/>
      <c r="EZ180" s="99"/>
      <c r="FA180" s="99"/>
      <c r="FB180" s="99"/>
      <c r="FC180" s="99"/>
      <c r="FD180" s="99"/>
      <c r="FE180" s="99"/>
      <c r="FF180" s="99"/>
      <c r="FG180" s="99"/>
      <c r="FH180" s="99"/>
      <c r="FI180" s="99"/>
      <c r="FJ180" s="99"/>
      <c r="FK180" s="99"/>
      <c r="FL180" s="99"/>
      <c r="FM180" s="99"/>
      <c r="FN180" s="99"/>
      <c r="FO180" s="99"/>
      <c r="FP180" s="99"/>
      <c r="FQ180" s="99"/>
      <c r="FR180" s="99"/>
      <c r="FS180" s="99"/>
      <c r="FT180" s="99"/>
      <c r="FU180" s="99"/>
      <c r="FV180" s="99"/>
      <c r="FW180" s="99"/>
      <c r="FX180" s="99"/>
      <c r="FY180" s="99"/>
      <c r="FZ180" s="99"/>
      <c r="GA180" s="99"/>
      <c r="GB180" s="99"/>
      <c r="GC180" s="99"/>
      <c r="GD180" s="99"/>
      <c r="GE180" s="99"/>
      <c r="GF180" s="99"/>
      <c r="GG180" s="99"/>
      <c r="GH180" s="99"/>
      <c r="GI180" s="99"/>
      <c r="GJ180" s="99"/>
      <c r="GK180" s="99"/>
      <c r="GL180" s="99"/>
      <c r="GM180" s="99"/>
      <c r="GN180" s="99"/>
      <c r="GO180" s="99"/>
      <c r="GP180" s="99"/>
      <c r="GQ180" s="99"/>
      <c r="GR180" s="99"/>
      <c r="GS180" s="99"/>
      <c r="GT180" s="99"/>
      <c r="GU180" s="99"/>
      <c r="GV180" s="99"/>
      <c r="GW180" s="99"/>
      <c r="GX180" s="99"/>
      <c r="GY180" s="99"/>
      <c r="GZ180" s="99"/>
      <c r="HA180" s="99"/>
      <c r="HB180" s="99"/>
      <c r="HC180" s="99"/>
      <c r="HD180" s="99"/>
      <c r="HE180" s="99"/>
      <c r="HF180" s="99"/>
      <c r="HG180" s="99"/>
      <c r="HH180" s="99"/>
      <c r="HI180" s="99"/>
      <c r="HJ180" s="99"/>
      <c r="HK180" s="99"/>
      <c r="HL180" s="99"/>
      <c r="HM180" s="99"/>
      <c r="HN180" s="99"/>
      <c r="HO180" s="99"/>
      <c r="HP180" s="99"/>
      <c r="HQ180" s="99"/>
      <c r="HR180" s="99"/>
      <c r="HS180" s="99"/>
      <c r="HT180" s="99"/>
      <c r="HU180" s="99"/>
      <c r="HV180" s="99"/>
      <c r="HW180" s="99"/>
      <c r="HX180" s="99"/>
      <c r="HY180" s="99"/>
      <c r="HZ180" s="99"/>
      <c r="IA180" s="99"/>
      <c r="IB180" s="99"/>
      <c r="IC180" s="99"/>
      <c r="ID180" s="99"/>
      <c r="IE180" s="99"/>
      <c r="IF180" s="99"/>
      <c r="IG180" s="99"/>
      <c r="IH180" s="99"/>
      <c r="II180" s="99"/>
      <c r="IJ180" s="99"/>
      <c r="IT180" s="112"/>
    </row>
    <row r="181" spans="1:254" ht="18.75">
      <c r="A181" s="117"/>
      <c r="B181" s="185" t="s">
        <v>320</v>
      </c>
      <c r="C181" s="206" t="s">
        <v>378</v>
      </c>
      <c r="D181" s="155" t="s">
        <v>560</v>
      </c>
      <c r="E181" s="211">
        <v>0.54</v>
      </c>
      <c r="F181" s="342"/>
      <c r="G181" s="211" t="s">
        <v>264</v>
      </c>
      <c r="H181" s="211">
        <v>0.54</v>
      </c>
      <c r="I181" s="211" t="s">
        <v>264</v>
      </c>
      <c r="J181" s="211">
        <v>0.54</v>
      </c>
      <c r="K181" s="346"/>
      <c r="L181" s="211"/>
      <c r="M181" s="346"/>
      <c r="N181" s="211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  <c r="AY181" s="99"/>
      <c r="AZ181" s="99"/>
      <c r="BA181" s="99"/>
      <c r="BB181" s="99"/>
      <c r="BC181" s="99"/>
      <c r="BD181" s="99"/>
      <c r="BE181" s="99"/>
      <c r="BF181" s="99"/>
      <c r="BG181" s="99"/>
      <c r="BH181" s="99"/>
      <c r="BI181" s="99"/>
      <c r="BJ181" s="99"/>
      <c r="BK181" s="99"/>
      <c r="BL181" s="99"/>
      <c r="BM181" s="99"/>
      <c r="BN181" s="99"/>
      <c r="BO181" s="99"/>
      <c r="BP181" s="99"/>
      <c r="BQ181" s="99"/>
      <c r="BR181" s="99"/>
      <c r="BS181" s="99"/>
      <c r="BT181" s="99"/>
      <c r="BU181" s="99"/>
      <c r="BV181" s="99"/>
      <c r="BW181" s="99"/>
      <c r="BX181" s="99"/>
      <c r="BY181" s="99"/>
      <c r="BZ181" s="99"/>
      <c r="CA181" s="99"/>
      <c r="CB181" s="99"/>
      <c r="CC181" s="99"/>
      <c r="CD181" s="99"/>
      <c r="CE181" s="99"/>
      <c r="CF181" s="99"/>
      <c r="CG181" s="99"/>
      <c r="CH181" s="99"/>
      <c r="CI181" s="99"/>
      <c r="CJ181" s="99"/>
      <c r="CK181" s="99"/>
      <c r="CL181" s="99"/>
      <c r="CM181" s="99"/>
      <c r="CN181" s="99"/>
      <c r="CO181" s="99"/>
      <c r="CP181" s="99"/>
      <c r="CQ181" s="99"/>
      <c r="CR181" s="99"/>
      <c r="CS181" s="99"/>
      <c r="CT181" s="99"/>
      <c r="CU181" s="99"/>
      <c r="CV181" s="99"/>
      <c r="CW181" s="99"/>
      <c r="CX181" s="99"/>
      <c r="CY181" s="99"/>
      <c r="CZ181" s="99"/>
      <c r="DA181" s="99"/>
      <c r="DB181" s="99"/>
      <c r="DC181" s="99"/>
      <c r="DD181" s="99"/>
      <c r="DE181" s="99"/>
      <c r="DF181" s="99"/>
      <c r="DG181" s="99"/>
      <c r="DH181" s="99"/>
      <c r="DI181" s="99"/>
      <c r="DJ181" s="99"/>
      <c r="DK181" s="99"/>
      <c r="DL181" s="99"/>
      <c r="DM181" s="99"/>
      <c r="DN181" s="99"/>
      <c r="DO181" s="99"/>
      <c r="DP181" s="99"/>
      <c r="DQ181" s="99"/>
      <c r="DR181" s="99"/>
      <c r="DS181" s="99"/>
      <c r="DT181" s="99"/>
      <c r="DU181" s="99"/>
      <c r="DV181" s="99"/>
      <c r="DW181" s="99"/>
      <c r="DX181" s="99"/>
      <c r="DY181" s="99"/>
      <c r="DZ181" s="99"/>
      <c r="EA181" s="99"/>
      <c r="EB181" s="99"/>
      <c r="EC181" s="99"/>
      <c r="ED181" s="99"/>
      <c r="EE181" s="99"/>
      <c r="EF181" s="99"/>
      <c r="EG181" s="99"/>
      <c r="EH181" s="99"/>
      <c r="EI181" s="99"/>
      <c r="EJ181" s="99"/>
      <c r="EK181" s="99"/>
      <c r="EL181" s="99"/>
      <c r="EM181" s="99"/>
      <c r="EN181" s="99"/>
      <c r="EO181" s="99"/>
      <c r="EP181" s="99"/>
      <c r="EQ181" s="99"/>
      <c r="ER181" s="99"/>
      <c r="ES181" s="99"/>
      <c r="ET181" s="99"/>
      <c r="EU181" s="99"/>
      <c r="EV181" s="99"/>
      <c r="EW181" s="99"/>
      <c r="EX181" s="99"/>
      <c r="EY181" s="99"/>
      <c r="EZ181" s="99"/>
      <c r="FA181" s="99"/>
      <c r="FB181" s="99"/>
      <c r="FC181" s="99"/>
      <c r="FD181" s="99"/>
      <c r="FE181" s="99"/>
      <c r="FF181" s="99"/>
      <c r="FG181" s="99"/>
      <c r="FH181" s="99"/>
      <c r="FI181" s="99"/>
      <c r="FJ181" s="99"/>
      <c r="FK181" s="99"/>
      <c r="FL181" s="99"/>
      <c r="FM181" s="99"/>
      <c r="FN181" s="99"/>
      <c r="FO181" s="99"/>
      <c r="FP181" s="99"/>
      <c r="FQ181" s="99"/>
      <c r="FR181" s="99"/>
      <c r="FS181" s="99"/>
      <c r="FT181" s="99"/>
      <c r="FU181" s="99"/>
      <c r="FV181" s="99"/>
      <c r="FW181" s="99"/>
      <c r="FX181" s="99"/>
      <c r="FY181" s="99"/>
      <c r="FZ181" s="99"/>
      <c r="GA181" s="99"/>
      <c r="GB181" s="99"/>
      <c r="GC181" s="99"/>
      <c r="GD181" s="99"/>
      <c r="GE181" s="99"/>
      <c r="GF181" s="99"/>
      <c r="GG181" s="99"/>
      <c r="GH181" s="99"/>
      <c r="GI181" s="99"/>
      <c r="GJ181" s="99"/>
      <c r="GK181" s="99"/>
      <c r="GL181" s="99"/>
      <c r="GM181" s="99"/>
      <c r="GN181" s="99"/>
      <c r="GO181" s="99"/>
      <c r="GP181" s="99"/>
      <c r="GQ181" s="99"/>
      <c r="GR181" s="99"/>
      <c r="GS181" s="99"/>
      <c r="GT181" s="99"/>
      <c r="GU181" s="99"/>
      <c r="GV181" s="99"/>
      <c r="GW181" s="99"/>
      <c r="GX181" s="99"/>
      <c r="GY181" s="99"/>
      <c r="GZ181" s="99"/>
      <c r="HA181" s="99"/>
      <c r="HB181" s="99"/>
      <c r="HC181" s="99"/>
      <c r="HD181" s="99"/>
      <c r="HE181" s="99"/>
      <c r="HF181" s="99"/>
      <c r="HG181" s="99"/>
      <c r="HH181" s="99"/>
      <c r="HI181" s="99"/>
      <c r="HJ181" s="99"/>
      <c r="HK181" s="99"/>
      <c r="HL181" s="99"/>
      <c r="HM181" s="99"/>
      <c r="HN181" s="99"/>
      <c r="HO181" s="99"/>
      <c r="HP181" s="99"/>
      <c r="HQ181" s="99"/>
      <c r="HR181" s="99"/>
      <c r="HS181" s="99"/>
      <c r="HT181" s="99"/>
      <c r="HU181" s="99"/>
      <c r="HV181" s="99"/>
      <c r="HW181" s="99"/>
      <c r="HX181" s="99"/>
      <c r="HY181" s="99"/>
      <c r="HZ181" s="99"/>
      <c r="IA181" s="99"/>
      <c r="IB181" s="99"/>
      <c r="IC181" s="99"/>
      <c r="ID181" s="99"/>
      <c r="IE181" s="99"/>
      <c r="IF181" s="99"/>
      <c r="IG181" s="99"/>
      <c r="IH181" s="99"/>
      <c r="II181" s="99"/>
      <c r="IJ181" s="99"/>
    </row>
    <row r="182" spans="1:254" ht="15" customHeight="1" thickBot="1">
      <c r="A182" s="117"/>
      <c r="B182" s="207" t="s">
        <v>321</v>
      </c>
      <c r="C182" s="224" t="s">
        <v>251</v>
      </c>
      <c r="D182" s="137" t="s">
        <v>563</v>
      </c>
      <c r="E182" s="230">
        <v>3.6</v>
      </c>
      <c r="F182" s="225"/>
      <c r="G182" s="138" t="s">
        <v>264</v>
      </c>
      <c r="H182" s="230">
        <v>3.6</v>
      </c>
      <c r="I182" s="138" t="s">
        <v>264</v>
      </c>
      <c r="J182" s="230">
        <v>3.6</v>
      </c>
      <c r="K182" s="172"/>
      <c r="L182" s="230"/>
      <c r="M182" s="172"/>
      <c r="N182" s="230"/>
      <c r="O182" s="99">
        <f>1.5*0.6*4</f>
        <v>3.5999999999999996</v>
      </c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  <c r="AY182" s="99"/>
      <c r="AZ182" s="99"/>
      <c r="BA182" s="99"/>
      <c r="BB182" s="99"/>
      <c r="BC182" s="99"/>
      <c r="BD182" s="99"/>
      <c r="BE182" s="99"/>
      <c r="BF182" s="99"/>
      <c r="BG182" s="99"/>
      <c r="BH182" s="99"/>
      <c r="BI182" s="99"/>
      <c r="BJ182" s="99"/>
      <c r="BK182" s="99"/>
      <c r="BL182" s="99"/>
      <c r="BM182" s="99"/>
      <c r="BN182" s="99"/>
      <c r="BO182" s="99"/>
      <c r="BP182" s="99"/>
      <c r="BQ182" s="99"/>
      <c r="BR182" s="99"/>
      <c r="BS182" s="99"/>
      <c r="BT182" s="99"/>
      <c r="BU182" s="99"/>
      <c r="BV182" s="99"/>
      <c r="BW182" s="99"/>
      <c r="BX182" s="99"/>
      <c r="BY182" s="99"/>
      <c r="BZ182" s="99"/>
      <c r="CA182" s="99"/>
      <c r="CB182" s="99"/>
      <c r="CC182" s="99"/>
      <c r="CD182" s="99"/>
      <c r="CE182" s="99"/>
      <c r="CF182" s="99"/>
      <c r="CG182" s="99"/>
      <c r="CH182" s="99"/>
      <c r="CI182" s="99"/>
      <c r="CJ182" s="99"/>
      <c r="CK182" s="99"/>
      <c r="CL182" s="99"/>
      <c r="CM182" s="99"/>
      <c r="CN182" s="99"/>
      <c r="CO182" s="99"/>
      <c r="CP182" s="99"/>
      <c r="CQ182" s="99"/>
      <c r="CR182" s="99"/>
      <c r="CS182" s="99"/>
      <c r="CT182" s="99"/>
      <c r="CU182" s="99"/>
      <c r="CV182" s="99"/>
      <c r="CW182" s="99"/>
      <c r="CX182" s="99"/>
      <c r="CY182" s="99"/>
      <c r="CZ182" s="99"/>
      <c r="DA182" s="99"/>
      <c r="DB182" s="99"/>
      <c r="DC182" s="99"/>
      <c r="DD182" s="99"/>
      <c r="DE182" s="99"/>
      <c r="DF182" s="99"/>
      <c r="DG182" s="99"/>
      <c r="DH182" s="99"/>
      <c r="DI182" s="99"/>
      <c r="DJ182" s="99"/>
      <c r="DK182" s="99"/>
      <c r="DL182" s="99"/>
      <c r="DM182" s="99"/>
      <c r="DN182" s="99"/>
      <c r="DO182" s="99"/>
      <c r="DP182" s="99"/>
      <c r="DQ182" s="99"/>
      <c r="DR182" s="99"/>
      <c r="DS182" s="99"/>
      <c r="DT182" s="99"/>
      <c r="DU182" s="99"/>
      <c r="DV182" s="99"/>
      <c r="DW182" s="99"/>
      <c r="DX182" s="99"/>
      <c r="DY182" s="99"/>
      <c r="DZ182" s="99"/>
      <c r="EA182" s="99"/>
      <c r="EB182" s="99"/>
      <c r="EC182" s="99"/>
      <c r="ED182" s="99"/>
      <c r="EE182" s="99"/>
      <c r="EF182" s="99"/>
      <c r="EG182" s="99"/>
      <c r="EH182" s="99"/>
      <c r="EI182" s="99"/>
      <c r="EJ182" s="99"/>
      <c r="EK182" s="99"/>
      <c r="EL182" s="99"/>
      <c r="EM182" s="99"/>
      <c r="EN182" s="99"/>
      <c r="EO182" s="99"/>
      <c r="EP182" s="99"/>
      <c r="EQ182" s="99"/>
      <c r="ER182" s="99"/>
      <c r="ES182" s="99"/>
      <c r="ET182" s="99"/>
      <c r="EU182" s="99"/>
      <c r="EV182" s="99"/>
      <c r="EW182" s="99"/>
      <c r="EX182" s="99"/>
      <c r="EY182" s="99"/>
      <c r="EZ182" s="99"/>
      <c r="FA182" s="99"/>
      <c r="FB182" s="99"/>
      <c r="FC182" s="99"/>
      <c r="FD182" s="99"/>
      <c r="FE182" s="99"/>
      <c r="FF182" s="99"/>
      <c r="FG182" s="99"/>
      <c r="FH182" s="99"/>
      <c r="FI182" s="99"/>
      <c r="FJ182" s="99"/>
      <c r="FK182" s="99"/>
      <c r="FL182" s="99"/>
      <c r="FM182" s="99"/>
      <c r="FN182" s="99"/>
      <c r="FO182" s="99"/>
      <c r="FP182" s="99"/>
      <c r="FQ182" s="99"/>
      <c r="FR182" s="99"/>
      <c r="FS182" s="99"/>
      <c r="FT182" s="99"/>
      <c r="FU182" s="99"/>
      <c r="FV182" s="99"/>
      <c r="FW182" s="99"/>
      <c r="FX182" s="99"/>
      <c r="FY182" s="99"/>
      <c r="FZ182" s="99"/>
      <c r="GA182" s="99"/>
      <c r="GB182" s="99"/>
      <c r="GC182" s="99"/>
      <c r="GD182" s="99"/>
      <c r="GE182" s="99"/>
      <c r="GF182" s="99"/>
      <c r="GG182" s="99"/>
      <c r="GH182" s="99"/>
      <c r="GI182" s="99"/>
      <c r="GJ182" s="99"/>
      <c r="GK182" s="99"/>
      <c r="GL182" s="99"/>
      <c r="GM182" s="99"/>
      <c r="GN182" s="99"/>
      <c r="GO182" s="99"/>
      <c r="GP182" s="99"/>
      <c r="GQ182" s="99"/>
      <c r="GR182" s="99"/>
      <c r="GS182" s="99"/>
      <c r="GT182" s="99"/>
      <c r="GU182" s="99"/>
      <c r="GV182" s="99"/>
      <c r="GW182" s="99"/>
      <c r="GX182" s="99"/>
      <c r="GY182" s="99"/>
      <c r="GZ182" s="99"/>
      <c r="HA182" s="99"/>
      <c r="HB182" s="99"/>
      <c r="HC182" s="99"/>
      <c r="HD182" s="99"/>
      <c r="HE182" s="99"/>
      <c r="HF182" s="99"/>
      <c r="HG182" s="99"/>
      <c r="HH182" s="99"/>
      <c r="HI182" s="99"/>
      <c r="HJ182" s="99"/>
      <c r="HK182" s="99"/>
      <c r="HL182" s="99"/>
      <c r="HM182" s="99"/>
      <c r="HN182" s="99"/>
      <c r="HO182" s="99"/>
      <c r="HP182" s="99"/>
      <c r="HQ182" s="99"/>
      <c r="HR182" s="99"/>
      <c r="HS182" s="99"/>
      <c r="HT182" s="99"/>
      <c r="HU182" s="99"/>
      <c r="HV182" s="99"/>
      <c r="HW182" s="99"/>
      <c r="HX182" s="99"/>
      <c r="HY182" s="99"/>
      <c r="HZ182" s="99"/>
      <c r="IA182" s="99"/>
      <c r="IB182" s="99"/>
      <c r="IC182" s="99"/>
      <c r="ID182" s="99"/>
      <c r="IE182" s="99"/>
      <c r="IF182" s="99"/>
      <c r="IG182" s="99"/>
      <c r="IH182" s="99"/>
      <c r="II182" s="99"/>
      <c r="IJ182" s="99"/>
      <c r="IT182" s="112"/>
    </row>
    <row r="183" spans="1:254" ht="48" thickBot="1">
      <c r="A183" s="117"/>
      <c r="B183" s="218"/>
      <c r="C183" s="205" t="s">
        <v>344</v>
      </c>
      <c r="D183" s="218"/>
      <c r="E183" s="221"/>
      <c r="F183" s="219"/>
      <c r="G183" s="219"/>
      <c r="H183" s="221"/>
      <c r="I183" s="219"/>
      <c r="J183" s="221"/>
      <c r="K183" s="329"/>
      <c r="L183" s="221"/>
      <c r="M183" s="329"/>
      <c r="N183" s="221"/>
    </row>
    <row r="184" spans="1:254" ht="18.75">
      <c r="B184" s="185" t="s">
        <v>345</v>
      </c>
      <c r="C184" s="206" t="s">
        <v>234</v>
      </c>
      <c r="D184" s="265" t="s">
        <v>560</v>
      </c>
      <c r="E184" s="259">
        <v>0</v>
      </c>
      <c r="F184" s="185"/>
      <c r="G184" s="259" t="s">
        <v>264</v>
      </c>
      <c r="H184" s="259">
        <v>0</v>
      </c>
      <c r="I184" s="259" t="s">
        <v>264</v>
      </c>
      <c r="J184" s="259">
        <v>0</v>
      </c>
      <c r="K184" s="273"/>
      <c r="L184" s="259"/>
      <c r="M184" s="273"/>
      <c r="N184" s="259"/>
    </row>
    <row r="185" spans="1:254" ht="31.5">
      <c r="B185" s="213" t="s">
        <v>346</v>
      </c>
      <c r="C185" s="224" t="s">
        <v>362</v>
      </c>
      <c r="D185" s="137" t="s">
        <v>141</v>
      </c>
      <c r="E185" s="230">
        <v>0</v>
      </c>
      <c r="F185" s="225"/>
      <c r="G185" s="230" t="s">
        <v>264</v>
      </c>
      <c r="H185" s="230">
        <v>0</v>
      </c>
      <c r="I185" s="230" t="s">
        <v>264</v>
      </c>
      <c r="J185" s="230">
        <v>0</v>
      </c>
      <c r="K185" s="138"/>
      <c r="L185" s="230"/>
      <c r="M185" s="138"/>
      <c r="N185" s="230"/>
    </row>
    <row r="186" spans="1:254" ht="31.5">
      <c r="B186" s="213" t="s">
        <v>347</v>
      </c>
      <c r="C186" s="328" t="s">
        <v>363</v>
      </c>
      <c r="D186" s="136" t="s">
        <v>141</v>
      </c>
      <c r="E186" s="223">
        <v>0</v>
      </c>
      <c r="F186" s="258"/>
      <c r="G186" s="223" t="s">
        <v>264</v>
      </c>
      <c r="H186" s="223">
        <v>0</v>
      </c>
      <c r="I186" s="223" t="s">
        <v>264</v>
      </c>
      <c r="J186" s="223">
        <v>0</v>
      </c>
      <c r="K186" s="159"/>
      <c r="L186" s="223"/>
      <c r="M186" s="159"/>
      <c r="N186" s="223"/>
    </row>
    <row r="187" spans="1:254" ht="31.5">
      <c r="B187" s="213" t="s">
        <v>348</v>
      </c>
      <c r="C187" s="206" t="s">
        <v>364</v>
      </c>
      <c r="D187" s="155" t="s">
        <v>141</v>
      </c>
      <c r="E187" s="259">
        <v>0</v>
      </c>
      <c r="F187" s="342"/>
      <c r="G187" s="259" t="s">
        <v>264</v>
      </c>
      <c r="H187" s="259">
        <v>0</v>
      </c>
      <c r="I187" s="259" t="s">
        <v>264</v>
      </c>
      <c r="J187" s="259">
        <v>0</v>
      </c>
      <c r="K187" s="211"/>
      <c r="L187" s="259"/>
      <c r="M187" s="211"/>
      <c r="N187" s="259"/>
    </row>
    <row r="188" spans="1:254" ht="31.5">
      <c r="B188" s="207" t="s">
        <v>349</v>
      </c>
      <c r="C188" s="224" t="s">
        <v>365</v>
      </c>
      <c r="D188" s="137" t="s">
        <v>250</v>
      </c>
      <c r="E188" s="230" t="s">
        <v>302</v>
      </c>
      <c r="F188" s="225"/>
      <c r="G188" s="137" t="s">
        <v>557</v>
      </c>
      <c r="H188" s="230" t="s">
        <v>302</v>
      </c>
      <c r="I188" s="137" t="s">
        <v>557</v>
      </c>
      <c r="J188" s="230" t="s">
        <v>302</v>
      </c>
      <c r="K188" s="252"/>
      <c r="L188" s="230"/>
      <c r="M188" s="252"/>
      <c r="N188" s="230"/>
      <c r="IT188" s="112"/>
    </row>
    <row r="189" spans="1:254" ht="114" customHeight="1" thickBot="1">
      <c r="A189" s="463" t="s">
        <v>510</v>
      </c>
      <c r="B189" s="467"/>
      <c r="C189" s="482"/>
      <c r="D189" s="469"/>
      <c r="E189" s="473"/>
      <c r="F189" s="495"/>
      <c r="G189" s="469"/>
      <c r="H189" s="473"/>
      <c r="I189" s="469"/>
      <c r="J189" s="473"/>
      <c r="K189" s="474"/>
      <c r="L189" s="473"/>
      <c r="M189" s="474"/>
      <c r="N189" s="475"/>
      <c r="IT189" s="112"/>
    </row>
    <row r="190" spans="1:254" ht="30" customHeight="1" thickBot="1">
      <c r="A190" s="463" t="s">
        <v>510</v>
      </c>
      <c r="B190" s="479"/>
      <c r="C190" s="483"/>
      <c r="D190" s="476"/>
      <c r="E190" s="477"/>
      <c r="F190" s="497"/>
      <c r="G190" s="476"/>
      <c r="H190" s="477"/>
      <c r="I190" s="476"/>
      <c r="J190" s="477"/>
      <c r="K190" s="478"/>
      <c r="L190" s="477"/>
      <c r="M190" s="478"/>
      <c r="N190" s="477"/>
      <c r="IT190" s="112"/>
    </row>
    <row r="191" spans="1:254" ht="36" customHeight="1" thickBot="1">
      <c r="A191" s="463" t="s">
        <v>510</v>
      </c>
      <c r="B191" s="642" t="s">
        <v>35</v>
      </c>
      <c r="C191" s="642" t="s">
        <v>36</v>
      </c>
      <c r="D191" s="642" t="s">
        <v>37</v>
      </c>
      <c r="E191" s="642" t="s">
        <v>92</v>
      </c>
      <c r="F191" s="642" t="s">
        <v>18</v>
      </c>
      <c r="G191" s="645" t="s">
        <v>100</v>
      </c>
      <c r="H191" s="646"/>
      <c r="I191" s="646"/>
      <c r="J191" s="646"/>
      <c r="K191" s="646"/>
      <c r="L191" s="646"/>
      <c r="M191" s="646"/>
      <c r="N191" s="647"/>
      <c r="O191" s="134"/>
      <c r="P191" s="134"/>
      <c r="Q191" s="134"/>
      <c r="R191" s="134"/>
    </row>
    <row r="192" spans="1:254" ht="15.75" customHeight="1" thickBot="1">
      <c r="A192" s="463" t="s">
        <v>510</v>
      </c>
      <c r="B192" s="643"/>
      <c r="C192" s="643"/>
      <c r="D192" s="643"/>
      <c r="E192" s="643"/>
      <c r="F192" s="643"/>
      <c r="G192" s="645" t="s">
        <v>553</v>
      </c>
      <c r="H192" s="648"/>
      <c r="I192" s="645" t="s">
        <v>575</v>
      </c>
      <c r="J192" s="648"/>
      <c r="K192" s="645" t="s">
        <v>554</v>
      </c>
      <c r="L192" s="648"/>
      <c r="M192" s="645" t="s">
        <v>554</v>
      </c>
      <c r="N192" s="648"/>
      <c r="O192" s="134"/>
      <c r="P192" s="134"/>
      <c r="Q192" s="134"/>
      <c r="R192" s="134"/>
    </row>
    <row r="193" spans="1:254" ht="16.5" thickBot="1">
      <c r="A193" s="463" t="s">
        <v>510</v>
      </c>
      <c r="B193" s="644"/>
      <c r="C193" s="644"/>
      <c r="D193" s="644"/>
      <c r="E193" s="644"/>
      <c r="F193" s="644"/>
      <c r="G193" s="118" t="s">
        <v>38</v>
      </c>
      <c r="H193" s="118" t="s">
        <v>39</v>
      </c>
      <c r="I193" s="118" t="s">
        <v>38</v>
      </c>
      <c r="J193" s="118" t="s">
        <v>39</v>
      </c>
      <c r="K193" s="118" t="s">
        <v>38</v>
      </c>
      <c r="L193" s="118" t="s">
        <v>39</v>
      </c>
      <c r="M193" s="118" t="s">
        <v>38</v>
      </c>
      <c r="N193" s="118" t="s">
        <v>39</v>
      </c>
      <c r="O193" s="134"/>
      <c r="P193" s="134"/>
      <c r="Q193" s="134"/>
      <c r="R193" s="134"/>
    </row>
    <row r="194" spans="1:254">
      <c r="A194" s="463" t="s">
        <v>510</v>
      </c>
      <c r="B194" s="119" t="s">
        <v>115</v>
      </c>
      <c r="C194" s="120" t="s">
        <v>116</v>
      </c>
      <c r="D194" s="120" t="s">
        <v>117</v>
      </c>
      <c r="E194" s="120" t="s">
        <v>118</v>
      </c>
      <c r="F194" s="119" t="s">
        <v>119</v>
      </c>
      <c r="G194" s="121" t="s">
        <v>120</v>
      </c>
      <c r="H194" s="121" t="s">
        <v>121</v>
      </c>
      <c r="I194" s="122">
        <v>8</v>
      </c>
      <c r="J194" s="123">
        <v>9</v>
      </c>
      <c r="K194" s="124">
        <v>10</v>
      </c>
      <c r="L194" s="123">
        <v>11</v>
      </c>
      <c r="M194" s="124">
        <v>12</v>
      </c>
      <c r="N194" s="123">
        <v>13</v>
      </c>
      <c r="O194" s="125"/>
      <c r="P194" s="125"/>
      <c r="Q194" s="125"/>
      <c r="R194" s="125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  <c r="AY194" s="99"/>
      <c r="AZ194" s="99"/>
      <c r="BA194" s="99"/>
      <c r="BB194" s="99"/>
      <c r="BC194" s="99"/>
      <c r="BD194" s="99"/>
      <c r="BE194" s="99"/>
      <c r="BF194" s="99"/>
      <c r="BG194" s="99"/>
      <c r="BH194" s="99"/>
      <c r="BI194" s="99"/>
      <c r="BJ194" s="99"/>
      <c r="BK194" s="99"/>
      <c r="BL194" s="99"/>
      <c r="BM194" s="99"/>
      <c r="BN194" s="99"/>
      <c r="BO194" s="99"/>
      <c r="BP194" s="99"/>
      <c r="BQ194" s="99"/>
      <c r="BR194" s="99"/>
      <c r="BS194" s="99"/>
      <c r="BT194" s="99"/>
      <c r="BU194" s="99"/>
      <c r="BV194" s="99"/>
      <c r="BW194" s="99"/>
      <c r="BX194" s="99"/>
      <c r="BY194" s="99"/>
      <c r="BZ194" s="99"/>
      <c r="CA194" s="99"/>
      <c r="CB194" s="99"/>
      <c r="CC194" s="99"/>
      <c r="CD194" s="99"/>
      <c r="CE194" s="99"/>
      <c r="CF194" s="99"/>
      <c r="CG194" s="99"/>
      <c r="CH194" s="99"/>
      <c r="CI194" s="99"/>
      <c r="CJ194" s="99"/>
      <c r="CK194" s="99"/>
      <c r="CL194" s="99"/>
      <c r="CM194" s="99"/>
      <c r="CN194" s="99"/>
      <c r="CO194" s="99"/>
      <c r="CP194" s="99"/>
      <c r="CQ194" s="99"/>
      <c r="CR194" s="99"/>
      <c r="CS194" s="99"/>
      <c r="CT194" s="99"/>
      <c r="CU194" s="99"/>
      <c r="CV194" s="99"/>
      <c r="CW194" s="99"/>
      <c r="CX194" s="99"/>
      <c r="CY194" s="99"/>
      <c r="CZ194" s="99"/>
      <c r="DA194" s="99"/>
      <c r="DB194" s="99"/>
      <c r="DC194" s="99"/>
      <c r="DD194" s="99"/>
      <c r="DE194" s="99"/>
      <c r="DF194" s="99"/>
      <c r="DG194" s="99"/>
      <c r="DH194" s="99"/>
      <c r="DI194" s="99"/>
      <c r="DJ194" s="99"/>
      <c r="DK194" s="99"/>
      <c r="DL194" s="99"/>
      <c r="DM194" s="99"/>
      <c r="DN194" s="99"/>
      <c r="DO194" s="99"/>
      <c r="DP194" s="99"/>
      <c r="DQ194" s="99"/>
      <c r="DR194" s="99"/>
      <c r="DS194" s="99"/>
      <c r="DT194" s="99"/>
      <c r="DU194" s="99"/>
      <c r="DV194" s="99"/>
      <c r="DW194" s="99"/>
      <c r="DX194" s="99"/>
      <c r="DY194" s="99"/>
      <c r="DZ194" s="99"/>
      <c r="EA194" s="99"/>
      <c r="EB194" s="99"/>
      <c r="EC194" s="99"/>
      <c r="ED194" s="99"/>
      <c r="EE194" s="99"/>
      <c r="EF194" s="99"/>
      <c r="EG194" s="99"/>
      <c r="EH194" s="99"/>
      <c r="EI194" s="99"/>
      <c r="EJ194" s="99"/>
      <c r="EK194" s="99"/>
      <c r="EL194" s="99"/>
      <c r="EM194" s="99"/>
      <c r="EN194" s="99"/>
      <c r="EO194" s="99"/>
      <c r="EP194" s="99"/>
      <c r="EQ194" s="99"/>
      <c r="ER194" s="99"/>
      <c r="ES194" s="99"/>
      <c r="ET194" s="99"/>
      <c r="EU194" s="99"/>
      <c r="EV194" s="99"/>
      <c r="EW194" s="99"/>
      <c r="EX194" s="99"/>
      <c r="EY194" s="99"/>
      <c r="EZ194" s="99"/>
      <c r="FA194" s="99"/>
      <c r="FB194" s="99"/>
      <c r="FC194" s="99"/>
      <c r="FD194" s="99"/>
      <c r="FE194" s="99"/>
      <c r="FF194" s="99"/>
      <c r="FG194" s="99"/>
      <c r="FH194" s="99"/>
      <c r="FI194" s="99"/>
      <c r="FJ194" s="99"/>
      <c r="FK194" s="99"/>
      <c r="FL194" s="99"/>
      <c r="FM194" s="99"/>
      <c r="FN194" s="99"/>
      <c r="FO194" s="99"/>
      <c r="FP194" s="99"/>
      <c r="FQ194" s="99"/>
      <c r="FR194" s="99"/>
      <c r="FS194" s="99"/>
      <c r="FT194" s="99"/>
      <c r="FU194" s="99"/>
      <c r="FV194" s="99"/>
      <c r="FW194" s="99"/>
      <c r="FX194" s="99"/>
      <c r="FY194" s="99"/>
      <c r="FZ194" s="99"/>
      <c r="GA194" s="99"/>
      <c r="GB194" s="99"/>
      <c r="GC194" s="99"/>
      <c r="GD194" s="99"/>
      <c r="GE194" s="99"/>
      <c r="GF194" s="99"/>
      <c r="GG194" s="99"/>
      <c r="GH194" s="99"/>
      <c r="GI194" s="99"/>
      <c r="GJ194" s="99"/>
      <c r="GK194" s="99"/>
      <c r="GL194" s="99"/>
      <c r="GM194" s="99"/>
      <c r="GN194" s="99"/>
      <c r="GO194" s="99"/>
      <c r="GP194" s="99"/>
      <c r="GQ194" s="99"/>
      <c r="GR194" s="99"/>
      <c r="GS194" s="99"/>
      <c r="GT194" s="99"/>
      <c r="GU194" s="99"/>
      <c r="GV194" s="99"/>
      <c r="GW194" s="99"/>
      <c r="GX194" s="99"/>
      <c r="GY194" s="99"/>
      <c r="GZ194" s="99"/>
      <c r="HA194" s="99"/>
      <c r="HB194" s="99"/>
      <c r="HC194" s="99"/>
      <c r="HD194" s="99"/>
      <c r="HE194" s="99"/>
      <c r="HF194" s="99"/>
      <c r="HG194" s="99"/>
      <c r="HH194" s="99"/>
      <c r="HI194" s="99"/>
      <c r="HJ194" s="99"/>
      <c r="HK194" s="99"/>
      <c r="HL194" s="99"/>
      <c r="HM194" s="99"/>
      <c r="HN194" s="99"/>
      <c r="HO194" s="99"/>
      <c r="HP194" s="99"/>
      <c r="HQ194" s="99"/>
      <c r="HR194" s="99"/>
      <c r="HS194" s="99"/>
      <c r="HT194" s="99"/>
      <c r="HU194" s="99"/>
      <c r="HV194" s="99"/>
      <c r="HW194" s="99"/>
      <c r="HX194" s="99"/>
      <c r="HY194" s="99"/>
      <c r="HZ194" s="99"/>
      <c r="IA194" s="99"/>
      <c r="IB194" s="99"/>
      <c r="IC194" s="99"/>
      <c r="ID194" s="99"/>
      <c r="IE194" s="99"/>
      <c r="IF194" s="99"/>
      <c r="IG194" s="99"/>
      <c r="IH194" s="99"/>
      <c r="II194" s="99"/>
      <c r="IJ194" s="99"/>
    </row>
    <row r="195" spans="1:254" ht="31.5">
      <c r="B195" s="185" t="s">
        <v>350</v>
      </c>
      <c r="C195" s="293" t="s">
        <v>297</v>
      </c>
      <c r="D195" s="136" t="s">
        <v>560</v>
      </c>
      <c r="E195" s="223">
        <v>0</v>
      </c>
      <c r="F195" s="267"/>
      <c r="G195" s="223" t="s">
        <v>264</v>
      </c>
      <c r="H195" s="223">
        <v>0</v>
      </c>
      <c r="I195" s="223" t="s">
        <v>264</v>
      </c>
      <c r="J195" s="223">
        <v>0</v>
      </c>
      <c r="K195" s="159"/>
      <c r="L195" s="223"/>
      <c r="M195" s="159"/>
      <c r="N195" s="223"/>
      <c r="IT195" s="112"/>
    </row>
    <row r="196" spans="1:254" ht="31.5">
      <c r="B196" s="185" t="s">
        <v>351</v>
      </c>
      <c r="C196" s="296" t="s">
        <v>343</v>
      </c>
      <c r="D196" s="155" t="s">
        <v>560</v>
      </c>
      <c r="E196" s="259">
        <v>0</v>
      </c>
      <c r="F196" s="342"/>
      <c r="G196" s="259" t="s">
        <v>264</v>
      </c>
      <c r="H196" s="259">
        <v>0</v>
      </c>
      <c r="I196" s="259" t="s">
        <v>264</v>
      </c>
      <c r="J196" s="259">
        <v>0</v>
      </c>
      <c r="K196" s="211"/>
      <c r="L196" s="259"/>
      <c r="M196" s="211"/>
      <c r="N196" s="259"/>
    </row>
    <row r="197" spans="1:254" ht="31.5">
      <c r="B197" s="213" t="s">
        <v>352</v>
      </c>
      <c r="C197" s="303" t="s">
        <v>296</v>
      </c>
      <c r="D197" s="188" t="s">
        <v>560</v>
      </c>
      <c r="E197" s="231">
        <v>0</v>
      </c>
      <c r="F197" s="228"/>
      <c r="G197" s="231" t="s">
        <v>264</v>
      </c>
      <c r="H197" s="231">
        <v>0</v>
      </c>
      <c r="I197" s="231" t="s">
        <v>264</v>
      </c>
      <c r="J197" s="231">
        <v>0</v>
      </c>
      <c r="K197" s="215"/>
      <c r="L197" s="231"/>
      <c r="M197" s="215"/>
      <c r="N197" s="231"/>
    </row>
    <row r="198" spans="1:254" ht="31.5">
      <c r="B198" s="213" t="s">
        <v>353</v>
      </c>
      <c r="C198" s="305" t="s">
        <v>251</v>
      </c>
      <c r="D198" s="188" t="s">
        <v>563</v>
      </c>
      <c r="E198" s="231">
        <v>0</v>
      </c>
      <c r="F198" s="228"/>
      <c r="G198" s="231" t="s">
        <v>264</v>
      </c>
      <c r="H198" s="231">
        <v>0</v>
      </c>
      <c r="I198" s="231" t="s">
        <v>264</v>
      </c>
      <c r="J198" s="231">
        <v>0</v>
      </c>
      <c r="K198" s="215"/>
      <c r="L198" s="231"/>
      <c r="M198" s="215"/>
      <c r="N198" s="231"/>
    </row>
    <row r="199" spans="1:254" ht="31.5">
      <c r="B199" s="207" t="s">
        <v>354</v>
      </c>
      <c r="C199" s="260" t="s">
        <v>255</v>
      </c>
      <c r="D199" s="137" t="s">
        <v>165</v>
      </c>
      <c r="E199" s="226" t="s">
        <v>302</v>
      </c>
      <c r="F199" s="151"/>
      <c r="G199" s="137" t="s">
        <v>557</v>
      </c>
      <c r="H199" s="226" t="s">
        <v>302</v>
      </c>
      <c r="I199" s="137" t="s">
        <v>557</v>
      </c>
      <c r="J199" s="226" t="s">
        <v>302</v>
      </c>
      <c r="K199" s="252"/>
      <c r="L199" s="226"/>
      <c r="M199" s="252"/>
      <c r="N199" s="226"/>
      <c r="IT199" s="112"/>
    </row>
    <row r="200" spans="1:254" ht="63">
      <c r="B200" s="185" t="s">
        <v>355</v>
      </c>
      <c r="C200" s="332" t="s">
        <v>342</v>
      </c>
      <c r="D200" s="136" t="s">
        <v>141</v>
      </c>
      <c r="E200" s="279" t="s">
        <v>391</v>
      </c>
      <c r="F200" s="150"/>
      <c r="G200" s="279" t="s">
        <v>264</v>
      </c>
      <c r="H200" s="279" t="s">
        <v>391</v>
      </c>
      <c r="I200" s="279" t="s">
        <v>264</v>
      </c>
      <c r="J200" s="279" t="s">
        <v>391</v>
      </c>
      <c r="K200" s="279"/>
      <c r="L200" s="279"/>
      <c r="M200" s="279"/>
      <c r="N200" s="279"/>
    </row>
    <row r="201" spans="1:254" ht="31.5">
      <c r="B201" s="213" t="s">
        <v>356</v>
      </c>
      <c r="C201" s="333" t="s">
        <v>329</v>
      </c>
      <c r="D201" s="188" t="s">
        <v>232</v>
      </c>
      <c r="E201" s="215">
        <v>0</v>
      </c>
      <c r="F201" s="334"/>
      <c r="G201" s="215" t="s">
        <v>264</v>
      </c>
      <c r="H201" s="215">
        <v>0</v>
      </c>
      <c r="I201" s="215" t="s">
        <v>264</v>
      </c>
      <c r="J201" s="215">
        <v>0</v>
      </c>
      <c r="K201" s="345"/>
      <c r="L201" s="215"/>
      <c r="M201" s="345"/>
      <c r="N201" s="215"/>
    </row>
    <row r="202" spans="1:254" ht="31.5">
      <c r="B202" s="207" t="s">
        <v>357</v>
      </c>
      <c r="C202" s="355" t="s">
        <v>330</v>
      </c>
      <c r="D202" s="137" t="s">
        <v>331</v>
      </c>
      <c r="E202" s="350" t="s">
        <v>390</v>
      </c>
      <c r="F202" s="335"/>
      <c r="G202" s="137" t="s">
        <v>557</v>
      </c>
      <c r="H202" s="350" t="s">
        <v>390</v>
      </c>
      <c r="I202" s="137" t="s">
        <v>557</v>
      </c>
      <c r="J202" s="350" t="s">
        <v>390</v>
      </c>
      <c r="K202" s="252"/>
      <c r="L202" s="350"/>
      <c r="M202" s="252"/>
      <c r="N202" s="350"/>
      <c r="IT202" s="112"/>
    </row>
    <row r="203" spans="1:254" ht="94.5">
      <c r="B203" s="186" t="s">
        <v>358</v>
      </c>
      <c r="C203" s="351" t="s">
        <v>333</v>
      </c>
      <c r="D203" s="136" t="s">
        <v>563</v>
      </c>
      <c r="E203" s="352">
        <v>0</v>
      </c>
      <c r="F203" s="337"/>
      <c r="G203" s="159" t="s">
        <v>264</v>
      </c>
      <c r="H203" s="352">
        <v>0</v>
      </c>
      <c r="I203" s="159" t="s">
        <v>264</v>
      </c>
      <c r="J203" s="352">
        <v>0</v>
      </c>
      <c r="K203" s="366"/>
      <c r="L203" s="352"/>
      <c r="M203" s="366"/>
      <c r="N203" s="352"/>
      <c r="IT203" s="112"/>
    </row>
    <row r="204" spans="1:254" ht="63">
      <c r="B204" s="185" t="s">
        <v>359</v>
      </c>
      <c r="C204" s="336" t="s">
        <v>336</v>
      </c>
      <c r="D204" s="136" t="s">
        <v>566</v>
      </c>
      <c r="E204" s="338" t="s">
        <v>390</v>
      </c>
      <c r="F204" s="337"/>
      <c r="G204" s="136" t="s">
        <v>557</v>
      </c>
      <c r="H204" s="338" t="s">
        <v>390</v>
      </c>
      <c r="I204" s="136" t="s">
        <v>557</v>
      </c>
      <c r="J204" s="338" t="s">
        <v>390</v>
      </c>
      <c r="K204" s="283"/>
      <c r="L204" s="338"/>
      <c r="M204" s="283"/>
      <c r="N204" s="338"/>
    </row>
    <row r="205" spans="1:254" ht="31.5">
      <c r="B205" s="213" t="s">
        <v>360</v>
      </c>
      <c r="C205" s="339" t="s">
        <v>337</v>
      </c>
      <c r="D205" s="155" t="s">
        <v>338</v>
      </c>
      <c r="E205" s="341" t="s">
        <v>389</v>
      </c>
      <c r="F205" s="340"/>
      <c r="G205" s="137" t="s">
        <v>557</v>
      </c>
      <c r="H205" s="341" t="s">
        <v>389</v>
      </c>
      <c r="I205" s="137" t="s">
        <v>557</v>
      </c>
      <c r="J205" s="341" t="s">
        <v>389</v>
      </c>
      <c r="K205" s="347"/>
      <c r="L205" s="341"/>
      <c r="M205" s="347"/>
      <c r="N205" s="341"/>
    </row>
    <row r="206" spans="1:254" ht="32.25" thickBot="1">
      <c r="B206" s="207" t="s">
        <v>361</v>
      </c>
      <c r="C206" s="212" t="s">
        <v>306</v>
      </c>
      <c r="D206" s="137" t="s">
        <v>165</v>
      </c>
      <c r="E206" s="230" t="s">
        <v>302</v>
      </c>
      <c r="F206" s="129"/>
      <c r="G206" s="137" t="s">
        <v>557</v>
      </c>
      <c r="H206" s="230" t="s">
        <v>302</v>
      </c>
      <c r="I206" s="137" t="s">
        <v>557</v>
      </c>
      <c r="J206" s="230" t="s">
        <v>302</v>
      </c>
      <c r="K206" s="252"/>
      <c r="L206" s="230"/>
      <c r="M206" s="252"/>
      <c r="N206" s="230"/>
    </row>
    <row r="207" spans="1:254" ht="16.5" thickBot="1">
      <c r="B207" s="196" t="s">
        <v>367</v>
      </c>
      <c r="C207" s="197" t="s">
        <v>366</v>
      </c>
      <c r="D207" s="174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</row>
    <row r="208" spans="1:254">
      <c r="B208" s="375"/>
      <c r="C208" s="376"/>
      <c r="D208" s="156"/>
      <c r="E208" s="248"/>
      <c r="F208" s="377"/>
      <c r="G208" s="248"/>
      <c r="H208" s="248"/>
      <c r="I208" s="248"/>
      <c r="J208" s="248"/>
      <c r="K208" s="248"/>
      <c r="L208" s="248"/>
      <c r="M208" s="248"/>
      <c r="N208" s="248"/>
    </row>
    <row r="209" spans="1:254" ht="78.75">
      <c r="B209" s="136" t="s">
        <v>368</v>
      </c>
      <c r="C209" s="286" t="s">
        <v>408</v>
      </c>
      <c r="D209" s="137" t="s">
        <v>560</v>
      </c>
      <c r="E209" s="138">
        <v>531.69000000000005</v>
      </c>
      <c r="F209" s="139"/>
      <c r="G209" s="138" t="s">
        <v>264</v>
      </c>
      <c r="H209" s="138">
        <v>531.69000000000005</v>
      </c>
      <c r="I209" s="138" t="s">
        <v>264</v>
      </c>
      <c r="J209" s="138">
        <v>531.69000000000005</v>
      </c>
      <c r="K209" s="138"/>
      <c r="L209" s="138"/>
      <c r="M209" s="138"/>
      <c r="N209" s="138"/>
      <c r="IT209" s="112"/>
    </row>
    <row r="210" spans="1:254" ht="147" customHeight="1" thickBot="1">
      <c r="A210" s="463" t="s">
        <v>510</v>
      </c>
      <c r="B210" s="539"/>
      <c r="C210" s="620"/>
      <c r="D210" s="469"/>
      <c r="E210" s="473"/>
      <c r="F210" s="621"/>
      <c r="G210" s="473"/>
      <c r="H210" s="473"/>
      <c r="I210" s="473"/>
      <c r="J210" s="473"/>
      <c r="K210" s="473"/>
      <c r="L210" s="473"/>
      <c r="M210" s="473"/>
      <c r="N210" s="475"/>
      <c r="IT210" s="112"/>
    </row>
    <row r="211" spans="1:254" ht="30" customHeight="1" thickBot="1">
      <c r="A211" s="463" t="s">
        <v>510</v>
      </c>
      <c r="B211" s="476"/>
      <c r="C211" s="622"/>
      <c r="D211" s="476"/>
      <c r="E211" s="477"/>
      <c r="F211" s="623"/>
      <c r="G211" s="477"/>
      <c r="H211" s="477"/>
      <c r="I211" s="477"/>
      <c r="J211" s="477"/>
      <c r="K211" s="477"/>
      <c r="L211" s="477"/>
      <c r="M211" s="477"/>
      <c r="N211" s="477"/>
      <c r="IT211" s="112"/>
    </row>
    <row r="212" spans="1:254" ht="36" customHeight="1" thickBot="1">
      <c r="A212" s="463" t="s">
        <v>510</v>
      </c>
      <c r="B212" s="642" t="s">
        <v>35</v>
      </c>
      <c r="C212" s="642" t="s">
        <v>36</v>
      </c>
      <c r="D212" s="642" t="s">
        <v>37</v>
      </c>
      <c r="E212" s="642" t="s">
        <v>92</v>
      </c>
      <c r="F212" s="642" t="s">
        <v>18</v>
      </c>
      <c r="G212" s="645" t="s">
        <v>100</v>
      </c>
      <c r="H212" s="646"/>
      <c r="I212" s="646"/>
      <c r="J212" s="646"/>
      <c r="K212" s="646"/>
      <c r="L212" s="646"/>
      <c r="M212" s="646"/>
      <c r="N212" s="647"/>
      <c r="O212" s="134"/>
      <c r="P212" s="134"/>
      <c r="Q212" s="134"/>
      <c r="R212" s="134"/>
    </row>
    <row r="213" spans="1:254" ht="15.75" customHeight="1" thickBot="1">
      <c r="A213" s="463" t="s">
        <v>510</v>
      </c>
      <c r="B213" s="643"/>
      <c r="C213" s="643"/>
      <c r="D213" s="643"/>
      <c r="E213" s="643"/>
      <c r="F213" s="643"/>
      <c r="G213" s="645" t="s">
        <v>553</v>
      </c>
      <c r="H213" s="648"/>
      <c r="I213" s="645" t="s">
        <v>575</v>
      </c>
      <c r="J213" s="648"/>
      <c r="K213" s="645" t="s">
        <v>554</v>
      </c>
      <c r="L213" s="648"/>
      <c r="M213" s="645" t="s">
        <v>554</v>
      </c>
      <c r="N213" s="648"/>
      <c r="O213" s="134"/>
      <c r="P213" s="134"/>
      <c r="Q213" s="134"/>
      <c r="R213" s="134"/>
    </row>
    <row r="214" spans="1:254" ht="16.5" thickBot="1">
      <c r="A214" s="463" t="s">
        <v>510</v>
      </c>
      <c r="B214" s="644"/>
      <c r="C214" s="644"/>
      <c r="D214" s="644"/>
      <c r="E214" s="644"/>
      <c r="F214" s="644"/>
      <c r="G214" s="118" t="s">
        <v>38</v>
      </c>
      <c r="H214" s="118" t="s">
        <v>39</v>
      </c>
      <c r="I214" s="118" t="s">
        <v>38</v>
      </c>
      <c r="J214" s="118" t="s">
        <v>39</v>
      </c>
      <c r="K214" s="118" t="s">
        <v>38</v>
      </c>
      <c r="L214" s="118" t="s">
        <v>39</v>
      </c>
      <c r="M214" s="118" t="s">
        <v>38</v>
      </c>
      <c r="N214" s="118" t="s">
        <v>39</v>
      </c>
      <c r="O214" s="134"/>
      <c r="P214" s="134"/>
      <c r="Q214" s="134"/>
      <c r="R214" s="134"/>
    </row>
    <row r="215" spans="1:254">
      <c r="A215" s="463" t="s">
        <v>510</v>
      </c>
      <c r="B215" s="119" t="s">
        <v>115</v>
      </c>
      <c r="C215" s="120" t="s">
        <v>116</v>
      </c>
      <c r="D215" s="120" t="s">
        <v>117</v>
      </c>
      <c r="E215" s="120" t="s">
        <v>118</v>
      </c>
      <c r="F215" s="119" t="s">
        <v>119</v>
      </c>
      <c r="G215" s="121" t="s">
        <v>120</v>
      </c>
      <c r="H215" s="121" t="s">
        <v>121</v>
      </c>
      <c r="I215" s="122">
        <v>8</v>
      </c>
      <c r="J215" s="123">
        <v>9</v>
      </c>
      <c r="K215" s="124">
        <v>10</v>
      </c>
      <c r="L215" s="123">
        <v>11</v>
      </c>
      <c r="M215" s="124">
        <v>12</v>
      </c>
      <c r="N215" s="123">
        <v>13</v>
      </c>
      <c r="O215" s="125"/>
      <c r="P215" s="125"/>
      <c r="Q215" s="125"/>
      <c r="R215" s="125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  <c r="AY215" s="99"/>
      <c r="AZ215" s="99"/>
      <c r="BA215" s="99"/>
      <c r="BB215" s="99"/>
      <c r="BC215" s="99"/>
      <c r="BD215" s="99"/>
      <c r="BE215" s="99"/>
      <c r="BF215" s="99"/>
      <c r="BG215" s="99"/>
      <c r="BH215" s="99"/>
      <c r="BI215" s="99"/>
      <c r="BJ215" s="99"/>
      <c r="BK215" s="99"/>
      <c r="BL215" s="99"/>
      <c r="BM215" s="99"/>
      <c r="BN215" s="99"/>
      <c r="BO215" s="99"/>
      <c r="BP215" s="99"/>
      <c r="BQ215" s="99"/>
      <c r="BR215" s="99"/>
      <c r="BS215" s="99"/>
      <c r="BT215" s="99"/>
      <c r="BU215" s="99"/>
      <c r="BV215" s="99"/>
      <c r="BW215" s="99"/>
      <c r="BX215" s="99"/>
      <c r="BY215" s="99"/>
      <c r="BZ215" s="99"/>
      <c r="CA215" s="99"/>
      <c r="CB215" s="99"/>
      <c r="CC215" s="99"/>
      <c r="CD215" s="99"/>
      <c r="CE215" s="99"/>
      <c r="CF215" s="99"/>
      <c r="CG215" s="99"/>
      <c r="CH215" s="99"/>
      <c r="CI215" s="99"/>
      <c r="CJ215" s="99"/>
      <c r="CK215" s="99"/>
      <c r="CL215" s="99"/>
      <c r="CM215" s="99"/>
      <c r="CN215" s="99"/>
      <c r="CO215" s="99"/>
      <c r="CP215" s="99"/>
      <c r="CQ215" s="99"/>
      <c r="CR215" s="99"/>
      <c r="CS215" s="99"/>
      <c r="CT215" s="99"/>
      <c r="CU215" s="99"/>
      <c r="CV215" s="99"/>
      <c r="CW215" s="99"/>
      <c r="CX215" s="99"/>
      <c r="CY215" s="99"/>
      <c r="CZ215" s="99"/>
      <c r="DA215" s="99"/>
      <c r="DB215" s="99"/>
      <c r="DC215" s="99"/>
      <c r="DD215" s="99"/>
      <c r="DE215" s="99"/>
      <c r="DF215" s="99"/>
      <c r="DG215" s="99"/>
      <c r="DH215" s="99"/>
      <c r="DI215" s="99"/>
      <c r="DJ215" s="99"/>
      <c r="DK215" s="99"/>
      <c r="DL215" s="99"/>
      <c r="DM215" s="99"/>
      <c r="DN215" s="99"/>
      <c r="DO215" s="99"/>
      <c r="DP215" s="99"/>
      <c r="DQ215" s="99"/>
      <c r="DR215" s="99"/>
      <c r="DS215" s="99"/>
      <c r="DT215" s="99"/>
      <c r="DU215" s="99"/>
      <c r="DV215" s="99"/>
      <c r="DW215" s="99"/>
      <c r="DX215" s="99"/>
      <c r="DY215" s="99"/>
      <c r="DZ215" s="99"/>
      <c r="EA215" s="99"/>
      <c r="EB215" s="99"/>
      <c r="EC215" s="99"/>
      <c r="ED215" s="99"/>
      <c r="EE215" s="99"/>
      <c r="EF215" s="99"/>
      <c r="EG215" s="99"/>
      <c r="EH215" s="99"/>
      <c r="EI215" s="99"/>
      <c r="EJ215" s="99"/>
      <c r="EK215" s="99"/>
      <c r="EL215" s="99"/>
      <c r="EM215" s="99"/>
      <c r="EN215" s="99"/>
      <c r="EO215" s="99"/>
      <c r="EP215" s="99"/>
      <c r="EQ215" s="99"/>
      <c r="ER215" s="99"/>
      <c r="ES215" s="99"/>
      <c r="ET215" s="99"/>
      <c r="EU215" s="99"/>
      <c r="EV215" s="99"/>
      <c r="EW215" s="99"/>
      <c r="EX215" s="99"/>
      <c r="EY215" s="99"/>
      <c r="EZ215" s="99"/>
      <c r="FA215" s="99"/>
      <c r="FB215" s="99"/>
      <c r="FC215" s="99"/>
      <c r="FD215" s="99"/>
      <c r="FE215" s="99"/>
      <c r="FF215" s="99"/>
      <c r="FG215" s="99"/>
      <c r="FH215" s="99"/>
      <c r="FI215" s="99"/>
      <c r="FJ215" s="99"/>
      <c r="FK215" s="99"/>
      <c r="FL215" s="99"/>
      <c r="FM215" s="99"/>
      <c r="FN215" s="99"/>
      <c r="FO215" s="99"/>
      <c r="FP215" s="99"/>
      <c r="FQ215" s="99"/>
      <c r="FR215" s="99"/>
      <c r="FS215" s="99"/>
      <c r="FT215" s="99"/>
      <c r="FU215" s="99"/>
      <c r="FV215" s="99"/>
      <c r="FW215" s="99"/>
      <c r="FX215" s="99"/>
      <c r="FY215" s="99"/>
      <c r="FZ215" s="99"/>
      <c r="GA215" s="99"/>
      <c r="GB215" s="99"/>
      <c r="GC215" s="99"/>
      <c r="GD215" s="99"/>
      <c r="GE215" s="99"/>
      <c r="GF215" s="99"/>
      <c r="GG215" s="99"/>
      <c r="GH215" s="99"/>
      <c r="GI215" s="99"/>
      <c r="GJ215" s="99"/>
      <c r="GK215" s="99"/>
      <c r="GL215" s="99"/>
      <c r="GM215" s="99"/>
      <c r="GN215" s="99"/>
      <c r="GO215" s="99"/>
      <c r="GP215" s="99"/>
      <c r="GQ215" s="99"/>
      <c r="GR215" s="99"/>
      <c r="GS215" s="99"/>
      <c r="GT215" s="99"/>
      <c r="GU215" s="99"/>
      <c r="GV215" s="99"/>
      <c r="GW215" s="99"/>
      <c r="GX215" s="99"/>
      <c r="GY215" s="99"/>
      <c r="GZ215" s="99"/>
      <c r="HA215" s="99"/>
      <c r="HB215" s="99"/>
      <c r="HC215" s="99"/>
      <c r="HD215" s="99"/>
      <c r="HE215" s="99"/>
      <c r="HF215" s="99"/>
      <c r="HG215" s="99"/>
      <c r="HH215" s="99"/>
      <c r="HI215" s="99"/>
      <c r="HJ215" s="99"/>
      <c r="HK215" s="99"/>
      <c r="HL215" s="99"/>
      <c r="HM215" s="99"/>
      <c r="HN215" s="99"/>
      <c r="HO215" s="99"/>
      <c r="HP215" s="99"/>
      <c r="HQ215" s="99"/>
      <c r="HR215" s="99"/>
      <c r="HS215" s="99"/>
      <c r="HT215" s="99"/>
      <c r="HU215" s="99"/>
      <c r="HV215" s="99"/>
      <c r="HW215" s="99"/>
      <c r="HX215" s="99"/>
      <c r="HY215" s="99"/>
      <c r="HZ215" s="99"/>
      <c r="IA215" s="99"/>
      <c r="IB215" s="99"/>
      <c r="IC215" s="99"/>
      <c r="ID215" s="99"/>
      <c r="IE215" s="99"/>
      <c r="IF215" s="99"/>
      <c r="IG215" s="99"/>
      <c r="IH215" s="99"/>
      <c r="II215" s="99"/>
      <c r="IJ215" s="99"/>
    </row>
    <row r="216" spans="1:254" ht="56.25">
      <c r="B216" s="155" t="s">
        <v>369</v>
      </c>
      <c r="C216" s="607" t="s">
        <v>227</v>
      </c>
      <c r="D216" s="155" t="s">
        <v>560</v>
      </c>
      <c r="E216" s="211">
        <v>590.17999999999995</v>
      </c>
      <c r="F216" s="609" t="s">
        <v>382</v>
      </c>
      <c r="G216" s="211" t="s">
        <v>264</v>
      </c>
      <c r="H216" s="211">
        <v>590.17999999999995</v>
      </c>
      <c r="I216" s="211" t="s">
        <v>264</v>
      </c>
      <c r="J216" s="211">
        <v>590.17999999999995</v>
      </c>
      <c r="K216" s="211"/>
      <c r="L216" s="211"/>
      <c r="M216" s="211"/>
      <c r="N216" s="211"/>
    </row>
    <row r="217" spans="1:254" ht="31.5">
      <c r="B217" s="137" t="s">
        <v>370</v>
      </c>
      <c r="C217" s="287" t="s">
        <v>229</v>
      </c>
      <c r="D217" s="137" t="s">
        <v>560</v>
      </c>
      <c r="E217" s="138">
        <v>531.69000000000005</v>
      </c>
      <c r="F217" s="146"/>
      <c r="G217" s="138" t="s">
        <v>264</v>
      </c>
      <c r="H217" s="138">
        <v>531.69000000000005</v>
      </c>
      <c r="I217" s="138" t="s">
        <v>264</v>
      </c>
      <c r="J217" s="138">
        <v>531.69000000000005</v>
      </c>
      <c r="K217" s="138"/>
      <c r="L217" s="138"/>
      <c r="M217" s="138"/>
      <c r="N217" s="138"/>
      <c r="IT217" s="112"/>
    </row>
    <row r="218" spans="1:254" ht="47.25">
      <c r="B218" s="155" t="s">
        <v>371</v>
      </c>
      <c r="C218" s="607" t="s">
        <v>230</v>
      </c>
      <c r="D218" s="155" t="s">
        <v>560</v>
      </c>
      <c r="E218" s="211">
        <v>531.69000000000005</v>
      </c>
      <c r="F218" s="608"/>
      <c r="G218" s="211" t="s">
        <v>264</v>
      </c>
      <c r="H218" s="211">
        <v>531.69000000000005</v>
      </c>
      <c r="I218" s="211" t="s">
        <v>264</v>
      </c>
      <c r="J218" s="211">
        <v>531.69000000000005</v>
      </c>
      <c r="K218" s="211"/>
      <c r="L218" s="211"/>
      <c r="M218" s="211"/>
      <c r="N218" s="211"/>
    </row>
    <row r="219" spans="1:254" ht="47.25">
      <c r="B219" s="502">
        <v>17</v>
      </c>
      <c r="C219" s="503" t="s">
        <v>413</v>
      </c>
      <c r="D219" s="504"/>
      <c r="E219" s="418"/>
      <c r="F219" s="445"/>
      <c r="G219" s="446"/>
      <c r="H219" s="418"/>
      <c r="I219" s="446"/>
      <c r="J219" s="418"/>
      <c r="K219" s="446"/>
      <c r="L219" s="418"/>
      <c r="M219" s="446"/>
      <c r="N219" s="418"/>
      <c r="IT219" s="112"/>
    </row>
    <row r="220" spans="1:254">
      <c r="B220" s="500"/>
      <c r="C220" s="412" t="s">
        <v>401</v>
      </c>
      <c r="D220" s="413"/>
      <c r="E220" s="414"/>
      <c r="F220" s="415"/>
      <c r="G220" s="416"/>
      <c r="H220" s="414"/>
      <c r="I220" s="416"/>
      <c r="J220" s="414"/>
      <c r="K220" s="416"/>
      <c r="L220" s="414"/>
      <c r="M220" s="416"/>
      <c r="N220" s="414"/>
      <c r="Q220" s="1" t="s">
        <v>412</v>
      </c>
    </row>
    <row r="221" spans="1:254" ht="63">
      <c r="B221" s="402" t="s">
        <v>396</v>
      </c>
      <c r="C221" s="417" t="s">
        <v>409</v>
      </c>
      <c r="D221" s="385" t="s">
        <v>569</v>
      </c>
      <c r="E221" s="418">
        <v>374.137</v>
      </c>
      <c r="F221" s="419"/>
      <c r="G221" s="418" t="s">
        <v>264</v>
      </c>
      <c r="H221" s="418">
        <v>374.137</v>
      </c>
      <c r="I221" s="418" t="s">
        <v>264</v>
      </c>
      <c r="J221" s="418">
        <v>374.137</v>
      </c>
      <c r="K221" s="418"/>
      <c r="L221" s="418"/>
      <c r="M221" s="418"/>
      <c r="N221" s="418"/>
      <c r="O221" s="1">
        <f>17.029*2+28.255*3+4.004*9+34.618*2+50.014*3</f>
        <v>374.13700000000006</v>
      </c>
      <c r="Q221" s="1">
        <f>0.6*1.4*4*5+0.42*0.4*1.2*4*5+0.35*0.24*(6.3*2*3+3.3*5*2)+5.03*2+10.49*3+0.72*2+1.1*3+1.75*1.75*0.16*8+0.18*9</f>
        <v>78.589200000000005</v>
      </c>
    </row>
    <row r="222" spans="1:254" ht="31.5">
      <c r="B222" s="402" t="s">
        <v>398</v>
      </c>
      <c r="C222" s="420" t="s">
        <v>225</v>
      </c>
      <c r="D222" s="385" t="s">
        <v>397</v>
      </c>
      <c r="E222" s="418">
        <v>10.763</v>
      </c>
      <c r="F222" s="419"/>
      <c r="G222" s="418" t="s">
        <v>264</v>
      </c>
      <c r="H222" s="418">
        <v>10.763</v>
      </c>
      <c r="I222" s="418" t="s">
        <v>264</v>
      </c>
      <c r="J222" s="418">
        <v>10.763</v>
      </c>
      <c r="K222" s="418"/>
      <c r="L222" s="418"/>
      <c r="M222" s="418"/>
      <c r="N222" s="418"/>
      <c r="O222" s="1">
        <f>0.527*2+0.874*3*0.124*9+1.071*2+1.547*3</f>
        <v>10.763152</v>
      </c>
    </row>
    <row r="223" spans="1:254" ht="47.25">
      <c r="B223" s="402" t="s">
        <v>447</v>
      </c>
      <c r="C223" s="421" t="s">
        <v>226</v>
      </c>
      <c r="D223" s="385" t="s">
        <v>569</v>
      </c>
      <c r="E223" s="418">
        <v>384.9</v>
      </c>
      <c r="F223" s="422"/>
      <c r="G223" s="418" t="s">
        <v>264</v>
      </c>
      <c r="H223" s="418">
        <v>384.9</v>
      </c>
      <c r="I223" s="418" t="s">
        <v>264</v>
      </c>
      <c r="J223" s="418">
        <v>384.9</v>
      </c>
      <c r="K223" s="418"/>
      <c r="L223" s="418"/>
      <c r="M223" s="418"/>
      <c r="N223" s="418"/>
      <c r="O223" s="1">
        <f>O222+O221</f>
        <v>384.90015200000005</v>
      </c>
    </row>
    <row r="224" spans="1:254" ht="47.25">
      <c r="B224" s="402" t="s">
        <v>448</v>
      </c>
      <c r="C224" s="420" t="s">
        <v>227</v>
      </c>
      <c r="D224" s="385" t="s">
        <v>569</v>
      </c>
      <c r="E224" s="418">
        <v>348.65</v>
      </c>
      <c r="F224" s="423" t="s">
        <v>228</v>
      </c>
      <c r="G224" s="418" t="s">
        <v>264</v>
      </c>
      <c r="H224" s="418">
        <v>348.65</v>
      </c>
      <c r="I224" s="418" t="s">
        <v>264</v>
      </c>
      <c r="J224" s="418">
        <v>348.65</v>
      </c>
      <c r="K224" s="418"/>
      <c r="L224" s="418"/>
      <c r="M224" s="418"/>
      <c r="N224" s="418"/>
      <c r="O224" s="1">
        <f>O223*1.11-Q221</f>
        <v>348.64996872000006</v>
      </c>
    </row>
    <row r="225" spans="1:254" ht="31.5">
      <c r="B225" s="402" t="s">
        <v>449</v>
      </c>
      <c r="C225" s="420" t="s">
        <v>229</v>
      </c>
      <c r="D225" s="385" t="s">
        <v>569</v>
      </c>
      <c r="E225" s="418">
        <v>278.92</v>
      </c>
      <c r="F225" s="424"/>
      <c r="G225" s="418" t="s">
        <v>264</v>
      </c>
      <c r="H225" s="418">
        <v>278.92</v>
      </c>
      <c r="I225" s="418" t="s">
        <v>264</v>
      </c>
      <c r="J225" s="418">
        <v>278.92</v>
      </c>
      <c r="K225" s="418"/>
      <c r="L225" s="418"/>
      <c r="M225" s="418"/>
      <c r="N225" s="418"/>
      <c r="O225" s="1">
        <f>O224*0.8</f>
        <v>278.91997497600005</v>
      </c>
    </row>
    <row r="226" spans="1:254" ht="47.25">
      <c r="B226" s="402" t="s">
        <v>450</v>
      </c>
      <c r="C226" s="420" t="s">
        <v>230</v>
      </c>
      <c r="D226" s="385" t="s">
        <v>569</v>
      </c>
      <c r="E226" s="418">
        <v>278.92</v>
      </c>
      <c r="F226" s="419"/>
      <c r="G226" s="418" t="s">
        <v>264</v>
      </c>
      <c r="H226" s="418">
        <v>278.92</v>
      </c>
      <c r="I226" s="418" t="s">
        <v>264</v>
      </c>
      <c r="J226" s="418">
        <v>278.92</v>
      </c>
      <c r="K226" s="418"/>
      <c r="L226" s="418"/>
      <c r="M226" s="418"/>
      <c r="N226" s="418"/>
      <c r="O226" s="1">
        <f>O225</f>
        <v>278.91997497600005</v>
      </c>
    </row>
    <row r="227" spans="1:254" ht="18.75">
      <c r="B227" s="402" t="s">
        <v>451</v>
      </c>
      <c r="C227" s="393" t="s">
        <v>410</v>
      </c>
      <c r="D227" s="390" t="s">
        <v>569</v>
      </c>
      <c r="E227" s="389">
        <v>69.73</v>
      </c>
      <c r="F227" s="390"/>
      <c r="G227" s="425" t="s">
        <v>264</v>
      </c>
      <c r="H227" s="389">
        <v>69.73</v>
      </c>
      <c r="I227" s="425" t="s">
        <v>264</v>
      </c>
      <c r="J227" s="389">
        <v>69.73</v>
      </c>
      <c r="K227" s="389"/>
      <c r="L227" s="389"/>
      <c r="M227" s="389"/>
      <c r="N227" s="389"/>
      <c r="O227" s="148">
        <f>O224-O225</f>
        <v>69.729993744000012</v>
      </c>
    </row>
    <row r="228" spans="1:254" ht="18.75" customHeight="1" thickBot="1">
      <c r="B228" s="426"/>
      <c r="C228" s="427" t="s">
        <v>538</v>
      </c>
      <c r="D228" s="428"/>
      <c r="E228" s="429"/>
      <c r="F228" s="430"/>
      <c r="G228" s="431"/>
      <c r="H228" s="429"/>
      <c r="I228" s="431"/>
      <c r="J228" s="429"/>
      <c r="K228" s="431"/>
      <c r="L228" s="429"/>
      <c r="M228" s="431"/>
      <c r="N228" s="429"/>
    </row>
    <row r="229" spans="1:254" ht="18.75">
      <c r="B229" s="394" t="s">
        <v>452</v>
      </c>
      <c r="C229" s="432" t="s">
        <v>392</v>
      </c>
      <c r="D229" s="433" t="s">
        <v>569</v>
      </c>
      <c r="E229" s="434">
        <v>4.74</v>
      </c>
      <c r="F229" s="435"/>
      <c r="G229" s="436" t="s">
        <v>264</v>
      </c>
      <c r="H229" s="434">
        <v>4.74</v>
      </c>
      <c r="I229" s="436" t="s">
        <v>264</v>
      </c>
      <c r="J229" s="434">
        <v>4.74</v>
      </c>
      <c r="K229" s="434"/>
      <c r="L229" s="434"/>
      <c r="M229" s="565"/>
      <c r="N229" s="434"/>
      <c r="O229" s="1">
        <f>0.72*2+1.1*3</f>
        <v>4.74</v>
      </c>
    </row>
    <row r="230" spans="1:254" ht="18.75">
      <c r="B230" s="394" t="s">
        <v>453</v>
      </c>
      <c r="C230" s="432" t="s">
        <v>441</v>
      </c>
      <c r="D230" s="433" t="s">
        <v>572</v>
      </c>
      <c r="E230" s="437" t="s">
        <v>414</v>
      </c>
      <c r="F230" s="435"/>
      <c r="G230" s="387" t="s">
        <v>557</v>
      </c>
      <c r="H230" s="437" t="s">
        <v>414</v>
      </c>
      <c r="I230" s="387" t="s">
        <v>557</v>
      </c>
      <c r="J230" s="437" t="s">
        <v>414</v>
      </c>
      <c r="K230" s="437"/>
      <c r="L230" s="437"/>
      <c r="M230" s="252"/>
      <c r="N230" s="437"/>
      <c r="O230" s="1">
        <f>1.75*1.75*0.16*8</f>
        <v>3.92</v>
      </c>
    </row>
    <row r="231" spans="1:254" ht="18.75">
      <c r="B231" s="394" t="s">
        <v>454</v>
      </c>
      <c r="C231" s="432" t="s">
        <v>442</v>
      </c>
      <c r="D231" s="433" t="s">
        <v>572</v>
      </c>
      <c r="E231" s="437" t="s">
        <v>415</v>
      </c>
      <c r="F231" s="435"/>
      <c r="G231" s="387" t="s">
        <v>557</v>
      </c>
      <c r="H231" s="437" t="s">
        <v>415</v>
      </c>
      <c r="I231" s="387" t="s">
        <v>557</v>
      </c>
      <c r="J231" s="437" t="s">
        <v>415</v>
      </c>
      <c r="K231" s="437"/>
      <c r="L231" s="437"/>
      <c r="M231" s="437"/>
      <c r="N231" s="437"/>
      <c r="O231" s="1">
        <f>1.2*0.4*0.6*4*5</f>
        <v>5.76</v>
      </c>
    </row>
    <row r="232" spans="1:254" ht="31.5">
      <c r="B232" s="390" t="s">
        <v>455</v>
      </c>
      <c r="C232" s="442" t="s">
        <v>393</v>
      </c>
      <c r="D232" s="385" t="s">
        <v>570</v>
      </c>
      <c r="E232" s="418">
        <v>60.34</v>
      </c>
      <c r="F232" s="445"/>
      <c r="G232" s="425" t="s">
        <v>264</v>
      </c>
      <c r="H232" s="418">
        <v>60.34</v>
      </c>
      <c r="I232" s="425" t="s">
        <v>264</v>
      </c>
      <c r="J232" s="418">
        <v>60.34</v>
      </c>
      <c r="K232" s="418"/>
      <c r="L232" s="418"/>
      <c r="M232" s="418"/>
      <c r="N232" s="418"/>
      <c r="O232" s="1">
        <f>1.2*0.42*2*20+0.4*0.42*2*20+0.16*1.75*4*8+1.75*1.75*8</f>
        <v>60.34</v>
      </c>
      <c r="IT232" s="112"/>
    </row>
    <row r="233" spans="1:254" ht="16.5" thickBot="1">
      <c r="B233" s="405"/>
      <c r="C233" s="406" t="s">
        <v>416</v>
      </c>
      <c r="D233" s="407"/>
      <c r="E233" s="408"/>
      <c r="F233" s="409"/>
      <c r="G233" s="410"/>
      <c r="H233" s="408"/>
      <c r="I233" s="410"/>
      <c r="J233" s="408"/>
      <c r="K233" s="410"/>
      <c r="L233" s="408"/>
      <c r="M233" s="410"/>
      <c r="N233" s="408"/>
      <c r="IT233" s="112"/>
    </row>
    <row r="234" spans="1:254" ht="18.75">
      <c r="B234" s="451" t="s">
        <v>456</v>
      </c>
      <c r="C234" s="392" t="s">
        <v>402</v>
      </c>
      <c r="D234" s="383" t="s">
        <v>569</v>
      </c>
      <c r="E234" s="382">
        <v>0.67200000000000004</v>
      </c>
      <c r="F234" s="383"/>
      <c r="G234" s="384" t="s">
        <v>264</v>
      </c>
      <c r="H234" s="382">
        <v>0.67200000000000004</v>
      </c>
      <c r="I234" s="384" t="s">
        <v>264</v>
      </c>
      <c r="J234" s="382">
        <v>0.67200000000000004</v>
      </c>
      <c r="K234" s="382"/>
      <c r="L234" s="382"/>
      <c r="M234" s="382"/>
      <c r="N234" s="382"/>
      <c r="O234" s="148">
        <f>0.6*1.4*0.1*4*2</f>
        <v>0.67200000000000004</v>
      </c>
      <c r="P234" s="148"/>
      <c r="Q234" s="148"/>
      <c r="R234" s="378"/>
      <c r="IT234" s="112"/>
    </row>
    <row r="235" spans="1:254" ht="34.5">
      <c r="B235" s="390" t="s">
        <v>457</v>
      </c>
      <c r="C235" s="393" t="s">
        <v>443</v>
      </c>
      <c r="D235" s="386" t="s">
        <v>444</v>
      </c>
      <c r="E235" s="385" t="s">
        <v>418</v>
      </c>
      <c r="F235" s="386"/>
      <c r="G235" s="387" t="s">
        <v>557</v>
      </c>
      <c r="H235" s="385" t="s">
        <v>418</v>
      </c>
      <c r="I235" s="387" t="s">
        <v>557</v>
      </c>
      <c r="J235" s="385" t="s">
        <v>418</v>
      </c>
      <c r="K235" s="385"/>
      <c r="L235" s="385"/>
      <c r="M235" s="252"/>
      <c r="N235" s="385"/>
      <c r="O235" s="148">
        <f>1.2*0.6*0.4*4*2</f>
        <v>2.3039999999999998</v>
      </c>
      <c r="P235" s="148"/>
      <c r="Q235" s="148"/>
      <c r="R235" s="378"/>
      <c r="IT235" s="112"/>
    </row>
    <row r="236" spans="1:254" ht="102" customHeight="1" thickBot="1">
      <c r="A236" s="463" t="s">
        <v>510</v>
      </c>
      <c r="B236" s="509"/>
      <c r="C236" s="510"/>
      <c r="D236" s="511"/>
      <c r="E236" s="512"/>
      <c r="F236" s="511"/>
      <c r="G236" s="513"/>
      <c r="H236" s="512"/>
      <c r="I236" s="513"/>
      <c r="J236" s="512"/>
      <c r="K236" s="512"/>
      <c r="L236" s="512"/>
      <c r="M236" s="474"/>
      <c r="N236" s="567"/>
      <c r="O236" s="148"/>
      <c r="P236" s="148"/>
      <c r="Q236" s="148"/>
      <c r="R236" s="378"/>
      <c r="IT236" s="112"/>
    </row>
    <row r="237" spans="1:254" ht="30" customHeight="1" thickBot="1">
      <c r="A237" s="463" t="s">
        <v>510</v>
      </c>
      <c r="B237" s="499"/>
      <c r="C237" s="514"/>
      <c r="D237" s="515"/>
      <c r="E237" s="516"/>
      <c r="F237" s="515"/>
      <c r="G237" s="517"/>
      <c r="H237" s="516"/>
      <c r="I237" s="517"/>
      <c r="J237" s="516"/>
      <c r="K237" s="516"/>
      <c r="L237" s="516"/>
      <c r="M237" s="478"/>
      <c r="N237" s="516"/>
      <c r="O237" s="148"/>
      <c r="P237" s="148"/>
      <c r="Q237" s="148"/>
      <c r="R237" s="378"/>
      <c r="IT237" s="112"/>
    </row>
    <row r="238" spans="1:254" ht="36" customHeight="1" thickBot="1">
      <c r="A238" s="463" t="s">
        <v>510</v>
      </c>
      <c r="B238" s="642" t="s">
        <v>35</v>
      </c>
      <c r="C238" s="642" t="s">
        <v>36</v>
      </c>
      <c r="D238" s="642" t="s">
        <v>37</v>
      </c>
      <c r="E238" s="642" t="s">
        <v>92</v>
      </c>
      <c r="F238" s="642" t="s">
        <v>18</v>
      </c>
      <c r="G238" s="645" t="s">
        <v>100</v>
      </c>
      <c r="H238" s="646"/>
      <c r="I238" s="646"/>
      <c r="J238" s="646"/>
      <c r="K238" s="646"/>
      <c r="L238" s="646"/>
      <c r="M238" s="646"/>
      <c r="N238" s="647"/>
      <c r="O238" s="134"/>
      <c r="P238" s="134"/>
      <c r="Q238" s="134"/>
      <c r="R238" s="134"/>
    </row>
    <row r="239" spans="1:254" ht="15.75" customHeight="1" thickBot="1">
      <c r="A239" s="463" t="s">
        <v>510</v>
      </c>
      <c r="B239" s="643"/>
      <c r="C239" s="643"/>
      <c r="D239" s="643"/>
      <c r="E239" s="643"/>
      <c r="F239" s="643"/>
      <c r="G239" s="645" t="s">
        <v>553</v>
      </c>
      <c r="H239" s="648"/>
      <c r="I239" s="645" t="s">
        <v>575</v>
      </c>
      <c r="J239" s="648"/>
      <c r="K239" s="645" t="s">
        <v>554</v>
      </c>
      <c r="L239" s="648"/>
      <c r="M239" s="645" t="s">
        <v>554</v>
      </c>
      <c r="N239" s="648"/>
      <c r="O239" s="134"/>
      <c r="P239" s="134"/>
      <c r="Q239" s="134"/>
      <c r="R239" s="134"/>
    </row>
    <row r="240" spans="1:254" ht="16.5" thickBot="1">
      <c r="A240" s="463" t="s">
        <v>510</v>
      </c>
      <c r="B240" s="644"/>
      <c r="C240" s="644"/>
      <c r="D240" s="644"/>
      <c r="E240" s="644"/>
      <c r="F240" s="644"/>
      <c r="G240" s="118" t="s">
        <v>38</v>
      </c>
      <c r="H240" s="118" t="s">
        <v>39</v>
      </c>
      <c r="I240" s="118" t="s">
        <v>38</v>
      </c>
      <c r="J240" s="118" t="s">
        <v>39</v>
      </c>
      <c r="K240" s="118" t="s">
        <v>38</v>
      </c>
      <c r="L240" s="118" t="s">
        <v>39</v>
      </c>
      <c r="M240" s="118" t="s">
        <v>38</v>
      </c>
      <c r="N240" s="118" t="s">
        <v>39</v>
      </c>
      <c r="O240" s="134"/>
      <c r="P240" s="134"/>
      <c r="Q240" s="134"/>
      <c r="R240" s="134"/>
    </row>
    <row r="241" spans="1:254">
      <c r="A241" s="463" t="s">
        <v>510</v>
      </c>
      <c r="B241" s="119" t="s">
        <v>115</v>
      </c>
      <c r="C241" s="120" t="s">
        <v>116</v>
      </c>
      <c r="D241" s="120" t="s">
        <v>117</v>
      </c>
      <c r="E241" s="120" t="s">
        <v>118</v>
      </c>
      <c r="F241" s="119" t="s">
        <v>119</v>
      </c>
      <c r="G241" s="121" t="s">
        <v>120</v>
      </c>
      <c r="H241" s="121" t="s">
        <v>121</v>
      </c>
      <c r="I241" s="122">
        <v>8</v>
      </c>
      <c r="J241" s="123">
        <v>9</v>
      </c>
      <c r="K241" s="124">
        <v>10</v>
      </c>
      <c r="L241" s="123">
        <v>11</v>
      </c>
      <c r="M241" s="124">
        <v>12</v>
      </c>
      <c r="N241" s="123">
        <v>13</v>
      </c>
      <c r="O241" s="125"/>
      <c r="P241" s="125"/>
      <c r="Q241" s="125"/>
      <c r="R241" s="125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  <c r="AY241" s="99"/>
      <c r="AZ241" s="99"/>
      <c r="BA241" s="99"/>
      <c r="BB241" s="99"/>
      <c r="BC241" s="99"/>
      <c r="BD241" s="99"/>
      <c r="BE241" s="99"/>
      <c r="BF241" s="99"/>
      <c r="BG241" s="99"/>
      <c r="BH241" s="99"/>
      <c r="BI241" s="99"/>
      <c r="BJ241" s="99"/>
      <c r="BK241" s="99"/>
      <c r="BL241" s="99"/>
      <c r="BM241" s="99"/>
      <c r="BN241" s="99"/>
      <c r="BO241" s="99"/>
      <c r="BP241" s="99"/>
      <c r="BQ241" s="99"/>
      <c r="BR241" s="99"/>
      <c r="BS241" s="99"/>
      <c r="BT241" s="99"/>
      <c r="BU241" s="99"/>
      <c r="BV241" s="99"/>
      <c r="BW241" s="99"/>
      <c r="BX241" s="99"/>
      <c r="BY241" s="99"/>
      <c r="BZ241" s="99"/>
      <c r="CA241" s="99"/>
      <c r="CB241" s="99"/>
      <c r="CC241" s="99"/>
      <c r="CD241" s="99"/>
      <c r="CE241" s="99"/>
      <c r="CF241" s="99"/>
      <c r="CG241" s="99"/>
      <c r="CH241" s="99"/>
      <c r="CI241" s="99"/>
      <c r="CJ241" s="99"/>
      <c r="CK241" s="99"/>
      <c r="CL241" s="99"/>
      <c r="CM241" s="99"/>
      <c r="CN241" s="99"/>
      <c r="CO241" s="99"/>
      <c r="CP241" s="99"/>
      <c r="CQ241" s="99"/>
      <c r="CR241" s="99"/>
      <c r="CS241" s="99"/>
      <c r="CT241" s="99"/>
      <c r="CU241" s="99"/>
      <c r="CV241" s="99"/>
      <c r="CW241" s="99"/>
      <c r="CX241" s="99"/>
      <c r="CY241" s="99"/>
      <c r="CZ241" s="99"/>
      <c r="DA241" s="99"/>
      <c r="DB241" s="99"/>
      <c r="DC241" s="99"/>
      <c r="DD241" s="99"/>
      <c r="DE241" s="99"/>
      <c r="DF241" s="99"/>
      <c r="DG241" s="99"/>
      <c r="DH241" s="99"/>
      <c r="DI241" s="99"/>
      <c r="DJ241" s="99"/>
      <c r="DK241" s="99"/>
      <c r="DL241" s="99"/>
      <c r="DM241" s="99"/>
      <c r="DN241" s="99"/>
      <c r="DO241" s="99"/>
      <c r="DP241" s="99"/>
      <c r="DQ241" s="99"/>
      <c r="DR241" s="99"/>
      <c r="DS241" s="99"/>
      <c r="DT241" s="99"/>
      <c r="DU241" s="99"/>
      <c r="DV241" s="99"/>
      <c r="DW241" s="99"/>
      <c r="DX241" s="99"/>
      <c r="DY241" s="99"/>
      <c r="DZ241" s="99"/>
      <c r="EA241" s="99"/>
      <c r="EB241" s="99"/>
      <c r="EC241" s="99"/>
      <c r="ED241" s="99"/>
      <c r="EE241" s="99"/>
      <c r="EF241" s="99"/>
      <c r="EG241" s="99"/>
      <c r="EH241" s="99"/>
      <c r="EI241" s="99"/>
      <c r="EJ241" s="99"/>
      <c r="EK241" s="99"/>
      <c r="EL241" s="99"/>
      <c r="EM241" s="99"/>
      <c r="EN241" s="99"/>
      <c r="EO241" s="99"/>
      <c r="EP241" s="99"/>
      <c r="EQ241" s="99"/>
      <c r="ER241" s="99"/>
      <c r="ES241" s="99"/>
      <c r="ET241" s="99"/>
      <c r="EU241" s="99"/>
      <c r="EV241" s="99"/>
      <c r="EW241" s="99"/>
      <c r="EX241" s="99"/>
      <c r="EY241" s="99"/>
      <c r="EZ241" s="99"/>
      <c r="FA241" s="99"/>
      <c r="FB241" s="99"/>
      <c r="FC241" s="99"/>
      <c r="FD241" s="99"/>
      <c r="FE241" s="99"/>
      <c r="FF241" s="99"/>
      <c r="FG241" s="99"/>
      <c r="FH241" s="99"/>
      <c r="FI241" s="99"/>
      <c r="FJ241" s="99"/>
      <c r="FK241" s="99"/>
      <c r="FL241" s="99"/>
      <c r="FM241" s="99"/>
      <c r="FN241" s="99"/>
      <c r="FO241" s="99"/>
      <c r="FP241" s="99"/>
      <c r="FQ241" s="99"/>
      <c r="FR241" s="99"/>
      <c r="FS241" s="99"/>
      <c r="FT241" s="99"/>
      <c r="FU241" s="99"/>
      <c r="FV241" s="99"/>
      <c r="FW241" s="99"/>
      <c r="FX241" s="99"/>
      <c r="FY241" s="99"/>
      <c r="FZ241" s="99"/>
      <c r="GA241" s="99"/>
      <c r="GB241" s="99"/>
      <c r="GC241" s="99"/>
      <c r="GD241" s="99"/>
      <c r="GE241" s="99"/>
      <c r="GF241" s="99"/>
      <c r="GG241" s="99"/>
      <c r="GH241" s="99"/>
      <c r="GI241" s="99"/>
      <c r="GJ241" s="99"/>
      <c r="GK241" s="99"/>
      <c r="GL241" s="99"/>
      <c r="GM241" s="99"/>
      <c r="GN241" s="99"/>
      <c r="GO241" s="99"/>
      <c r="GP241" s="99"/>
      <c r="GQ241" s="99"/>
      <c r="GR241" s="99"/>
      <c r="GS241" s="99"/>
      <c r="GT241" s="99"/>
      <c r="GU241" s="99"/>
      <c r="GV241" s="99"/>
      <c r="GW241" s="99"/>
      <c r="GX241" s="99"/>
      <c r="GY241" s="99"/>
      <c r="GZ241" s="99"/>
      <c r="HA241" s="99"/>
      <c r="HB241" s="99"/>
      <c r="HC241" s="99"/>
      <c r="HD241" s="99"/>
      <c r="HE241" s="99"/>
      <c r="HF241" s="99"/>
      <c r="HG241" s="99"/>
      <c r="HH241" s="99"/>
      <c r="HI241" s="99"/>
      <c r="HJ241" s="99"/>
      <c r="HK241" s="99"/>
      <c r="HL241" s="99"/>
      <c r="HM241" s="99"/>
      <c r="HN241" s="99"/>
      <c r="HO241" s="99"/>
      <c r="HP241" s="99"/>
      <c r="HQ241" s="99"/>
      <c r="HR241" s="99"/>
      <c r="HS241" s="99"/>
      <c r="HT241" s="99"/>
      <c r="HU241" s="99"/>
      <c r="HV241" s="99"/>
      <c r="HW241" s="99"/>
      <c r="HX241" s="99"/>
      <c r="HY241" s="99"/>
      <c r="HZ241" s="99"/>
      <c r="IA241" s="99"/>
      <c r="IB241" s="99"/>
      <c r="IC241" s="99"/>
      <c r="ID241" s="99"/>
      <c r="IE241" s="99"/>
      <c r="IF241" s="99"/>
      <c r="IG241" s="99"/>
      <c r="IH241" s="99"/>
      <c r="II241" s="99"/>
      <c r="IJ241" s="99"/>
    </row>
    <row r="242" spans="1:254" ht="31.5">
      <c r="B242" s="394" t="s">
        <v>458</v>
      </c>
      <c r="C242" s="395" t="s">
        <v>403</v>
      </c>
      <c r="D242" s="394" t="s">
        <v>570</v>
      </c>
      <c r="E242" s="388">
        <v>10.24</v>
      </c>
      <c r="F242" s="383"/>
      <c r="G242" s="384" t="s">
        <v>264</v>
      </c>
      <c r="H242" s="388">
        <v>10.24</v>
      </c>
      <c r="I242" s="384" t="s">
        <v>264</v>
      </c>
      <c r="J242" s="388">
        <v>10.24</v>
      </c>
      <c r="K242" s="388"/>
      <c r="L242" s="388"/>
      <c r="M242" s="388"/>
      <c r="N242" s="388"/>
      <c r="O242" s="148">
        <f>(1.2*2+0.4*2)*0.4*4*2</f>
        <v>10.240000000000002</v>
      </c>
      <c r="P242" s="148"/>
      <c r="Q242" s="166"/>
      <c r="R242" s="99"/>
      <c r="IT242" s="112"/>
    </row>
    <row r="243" spans="1:254">
      <c r="B243" s="390" t="s">
        <v>459</v>
      </c>
      <c r="C243" s="393" t="s">
        <v>404</v>
      </c>
      <c r="D243" s="390" t="s">
        <v>165</v>
      </c>
      <c r="E243" s="389" t="s">
        <v>405</v>
      </c>
      <c r="F243" s="390"/>
      <c r="G243" s="387" t="s">
        <v>557</v>
      </c>
      <c r="H243" s="389" t="s">
        <v>405</v>
      </c>
      <c r="I243" s="387" t="s">
        <v>557</v>
      </c>
      <c r="J243" s="389" t="s">
        <v>405</v>
      </c>
      <c r="K243" s="389"/>
      <c r="L243" s="389"/>
      <c r="M243" s="252"/>
      <c r="N243" s="389"/>
      <c r="O243" s="148">
        <f>0.13*8/1000</f>
        <v>1.0400000000000001E-3</v>
      </c>
      <c r="P243" s="148"/>
      <c r="Q243" s="166"/>
      <c r="R243" s="379"/>
      <c r="IT243" s="112"/>
    </row>
    <row r="244" spans="1:254">
      <c r="B244" s="438" t="s">
        <v>460</v>
      </c>
      <c r="C244" s="392" t="s">
        <v>417</v>
      </c>
      <c r="D244" s="383" t="s">
        <v>394</v>
      </c>
      <c r="E244" s="508">
        <v>8</v>
      </c>
      <c r="F244" s="383"/>
      <c r="G244" s="384" t="s">
        <v>264</v>
      </c>
      <c r="H244" s="508">
        <v>8</v>
      </c>
      <c r="I244" s="384" t="s">
        <v>264</v>
      </c>
      <c r="J244" s="508">
        <v>8</v>
      </c>
      <c r="K244" s="508"/>
      <c r="L244" s="508"/>
      <c r="M244" s="508"/>
      <c r="N244" s="508"/>
      <c r="O244" s="148"/>
      <c r="P244" s="148"/>
      <c r="Q244" s="166"/>
      <c r="R244" s="379"/>
      <c r="IT244" s="112"/>
    </row>
    <row r="245" spans="1:254" ht="34.5">
      <c r="B245" s="390" t="s">
        <v>461</v>
      </c>
      <c r="C245" s="393" t="s">
        <v>445</v>
      </c>
      <c r="D245" s="386" t="s">
        <v>444</v>
      </c>
      <c r="E245" s="385" t="s">
        <v>433</v>
      </c>
      <c r="F245" s="386"/>
      <c r="G245" s="387" t="s">
        <v>557</v>
      </c>
      <c r="H245" s="385" t="s">
        <v>433</v>
      </c>
      <c r="I245" s="387" t="s">
        <v>557</v>
      </c>
      <c r="J245" s="385" t="s">
        <v>433</v>
      </c>
      <c r="K245" s="385"/>
      <c r="L245" s="385"/>
      <c r="M245" s="252"/>
      <c r="N245" s="385"/>
      <c r="O245" s="148">
        <f>12*2</f>
        <v>24</v>
      </c>
      <c r="P245" s="148">
        <f>O245*100/1000</f>
        <v>2.4</v>
      </c>
      <c r="Q245" s="166"/>
      <c r="R245" s="379"/>
      <c r="IT245" s="112"/>
    </row>
    <row r="246" spans="1:254" ht="16.5" thickBot="1">
      <c r="B246" s="406"/>
      <c r="C246" s="406" t="s">
        <v>419</v>
      </c>
      <c r="D246" s="406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148"/>
      <c r="P246" s="148"/>
      <c r="Q246" s="166"/>
      <c r="R246" s="379"/>
      <c r="IT246" s="112"/>
    </row>
    <row r="247" spans="1:254" ht="63">
      <c r="B247" s="390" t="s">
        <v>462</v>
      </c>
      <c r="C247" s="395" t="s">
        <v>420</v>
      </c>
      <c r="D247" s="394" t="s">
        <v>141</v>
      </c>
      <c r="E247" s="397">
        <v>0.38400000000000001</v>
      </c>
      <c r="F247" s="394"/>
      <c r="G247" s="397" t="s">
        <v>264</v>
      </c>
      <c r="H247" s="397">
        <v>0.38400000000000001</v>
      </c>
      <c r="I247" s="397" t="s">
        <v>264</v>
      </c>
      <c r="J247" s="397">
        <v>0.38400000000000001</v>
      </c>
      <c r="K247" s="397"/>
      <c r="L247" s="397"/>
      <c r="M247" s="397"/>
      <c r="N247" s="397"/>
      <c r="O247" s="563">
        <f>(4*5.17+2*20.33+4*19.29+2*18.26+4*1.93+4*2.16)*2/1000</f>
        <v>0.38275999999999999</v>
      </c>
      <c r="P247" s="563">
        <f>4*0.2*2/1000</f>
        <v>1.6000000000000001E-3</v>
      </c>
      <c r="Q247" s="148">
        <f>P247+O247</f>
        <v>0.38435999999999998</v>
      </c>
      <c r="R247" s="379"/>
      <c r="IT247" s="112"/>
    </row>
    <row r="248" spans="1:254" ht="31.5">
      <c r="B248" s="390" t="s">
        <v>463</v>
      </c>
      <c r="C248" s="395" t="s">
        <v>421</v>
      </c>
      <c r="D248" s="394" t="s">
        <v>573</v>
      </c>
      <c r="E248" s="396" t="s">
        <v>542</v>
      </c>
      <c r="F248" s="394"/>
      <c r="G248" s="387" t="s">
        <v>557</v>
      </c>
      <c r="H248" s="396" t="s">
        <v>542</v>
      </c>
      <c r="I248" s="387" t="s">
        <v>557</v>
      </c>
      <c r="J248" s="396" t="s">
        <v>542</v>
      </c>
      <c r="K248" s="396"/>
      <c r="L248" s="396"/>
      <c r="M248" s="252"/>
      <c r="N248" s="396"/>
      <c r="O248" s="148">
        <f>8.4*2</f>
        <v>16.8</v>
      </c>
      <c r="P248" s="148">
        <f>8.4*7.4*2/1000</f>
        <v>0.12432000000000001</v>
      </c>
      <c r="Q248" s="166"/>
      <c r="R248" s="379"/>
      <c r="S248" s="564">
        <f>382.8+124.32</f>
        <v>507.12</v>
      </c>
      <c r="T248">
        <f>S248/2</f>
        <v>253.56</v>
      </c>
      <c r="IT248" s="112"/>
    </row>
    <row r="249" spans="1:254" ht="110.25">
      <c r="B249" s="390" t="s">
        <v>464</v>
      </c>
      <c r="C249" s="398" t="s">
        <v>407</v>
      </c>
      <c r="D249" s="399" t="s">
        <v>570</v>
      </c>
      <c r="E249" s="400">
        <v>16.922999999999998</v>
      </c>
      <c r="F249" s="390"/>
      <c r="G249" s="397" t="s">
        <v>264</v>
      </c>
      <c r="H249" s="400">
        <v>16.922999999999998</v>
      </c>
      <c r="I249" s="397" t="s">
        <v>264</v>
      </c>
      <c r="J249" s="400">
        <v>16.922999999999998</v>
      </c>
      <c r="K249" s="400"/>
      <c r="L249" s="400"/>
      <c r="M249" s="400"/>
      <c r="N249" s="400"/>
      <c r="O249" s="148">
        <f>O247*44+P247*50.9</f>
        <v>16.922879999999999</v>
      </c>
      <c r="P249" s="148"/>
      <c r="Q249" s="166"/>
      <c r="R249" s="379"/>
      <c r="IT249" s="112"/>
    </row>
    <row r="250" spans="1:254" ht="16.5" thickBot="1">
      <c r="B250" s="406"/>
      <c r="C250" s="406" t="s">
        <v>429</v>
      </c>
      <c r="D250" s="406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148"/>
      <c r="P250" s="148"/>
      <c r="Q250" s="166"/>
      <c r="R250" s="379"/>
      <c r="IT250" s="112"/>
    </row>
    <row r="251" spans="1:254" ht="78.75">
      <c r="B251" s="390" t="s">
        <v>465</v>
      </c>
      <c r="C251" s="395" t="s">
        <v>540</v>
      </c>
      <c r="D251" s="394" t="s">
        <v>141</v>
      </c>
      <c r="E251" s="397">
        <v>0.60799999999999998</v>
      </c>
      <c r="F251" s="394"/>
      <c r="G251" s="397" t="s">
        <v>264</v>
      </c>
      <c r="H251" s="397">
        <v>0.60799999999999998</v>
      </c>
      <c r="I251" s="397" t="s">
        <v>264</v>
      </c>
      <c r="J251" s="397">
        <v>0.60799999999999998</v>
      </c>
      <c r="K251" s="397"/>
      <c r="L251" s="397"/>
      <c r="M251" s="397"/>
      <c r="N251" s="397"/>
      <c r="O251" s="148">
        <f>16*12.3*2/1000</f>
        <v>0.39360000000000001</v>
      </c>
      <c r="P251" s="148">
        <f>8.28*10.4*2/1000</f>
        <v>0.17222399999999999</v>
      </c>
      <c r="Q251" s="166">
        <f>15.8*1.12*2/1000</f>
        <v>3.5392E-2</v>
      </c>
      <c r="R251" s="379">
        <f>12*0.29*2/1000</f>
        <v>6.9599999999999992E-3</v>
      </c>
      <c r="S251" s="401"/>
      <c r="IT251" s="112"/>
    </row>
    <row r="252" spans="1:254" ht="47.25">
      <c r="B252" s="390" t="s">
        <v>466</v>
      </c>
      <c r="C252" s="395" t="s">
        <v>422</v>
      </c>
      <c r="D252" s="394" t="s">
        <v>141</v>
      </c>
      <c r="E252" s="397">
        <v>4.8000000000000001E-2</v>
      </c>
      <c r="F252" s="394"/>
      <c r="G252" s="397" t="s">
        <v>264</v>
      </c>
      <c r="H252" s="397">
        <v>4.8000000000000001E-2</v>
      </c>
      <c r="I252" s="397" t="s">
        <v>264</v>
      </c>
      <c r="J252" s="397">
        <v>4.8000000000000001E-2</v>
      </c>
      <c r="K252" s="397"/>
      <c r="L252" s="397"/>
      <c r="M252" s="397"/>
      <c r="N252" s="397"/>
      <c r="O252" s="1">
        <f>(2*0.89+2*0.88+4*0.67)*2/1000</f>
        <v>1.2440000000000001E-2</v>
      </c>
      <c r="P252" s="148">
        <f>(2*4.48+2*4.37)*2/1000</f>
        <v>3.5400000000000008E-2</v>
      </c>
      <c r="Q252" s="148">
        <f>P252+O252</f>
        <v>4.7840000000000008E-2</v>
      </c>
      <c r="R252" s="379"/>
      <c r="IT252" s="112"/>
    </row>
    <row r="253" spans="1:254">
      <c r="B253" s="390" t="s">
        <v>467</v>
      </c>
      <c r="C253" s="395" t="s">
        <v>423</v>
      </c>
      <c r="D253" s="394" t="s">
        <v>331</v>
      </c>
      <c r="E253" s="396" t="s">
        <v>425</v>
      </c>
      <c r="F253" s="394"/>
      <c r="G253" s="387" t="s">
        <v>557</v>
      </c>
      <c r="H253" s="396" t="s">
        <v>425</v>
      </c>
      <c r="I253" s="387" t="s">
        <v>557</v>
      </c>
      <c r="J253" s="396" t="s">
        <v>425</v>
      </c>
      <c r="K253" s="396"/>
      <c r="L253" s="396"/>
      <c r="M253" s="252"/>
      <c r="N253" s="396"/>
      <c r="O253" s="148">
        <f>8*2+24*2</f>
        <v>64</v>
      </c>
      <c r="P253" s="148">
        <f>O253*0.05</f>
        <v>3.2</v>
      </c>
      <c r="Q253" s="166"/>
      <c r="R253" s="379"/>
      <c r="IT253" s="112"/>
    </row>
    <row r="254" spans="1:254">
      <c r="B254" s="390" t="s">
        <v>468</v>
      </c>
      <c r="C254" s="395" t="s">
        <v>424</v>
      </c>
      <c r="D254" s="394" t="s">
        <v>331</v>
      </c>
      <c r="E254" s="396" t="s">
        <v>426</v>
      </c>
      <c r="F254" s="394"/>
      <c r="G254" s="387" t="s">
        <v>557</v>
      </c>
      <c r="H254" s="396" t="s">
        <v>426</v>
      </c>
      <c r="I254" s="387" t="s">
        <v>557</v>
      </c>
      <c r="J254" s="396" t="s">
        <v>426</v>
      </c>
      <c r="K254" s="396"/>
      <c r="L254" s="396"/>
      <c r="M254" s="252"/>
      <c r="N254" s="396"/>
      <c r="O254" s="148">
        <f>8*2+48*2</f>
        <v>112</v>
      </c>
      <c r="P254" s="148">
        <f>O254*0.02</f>
        <v>2.2400000000000002</v>
      </c>
      <c r="Q254" s="166"/>
      <c r="R254" s="379"/>
      <c r="IT254" s="112"/>
    </row>
    <row r="255" spans="1:254">
      <c r="B255" s="438" t="s">
        <v>469</v>
      </c>
      <c r="C255" s="392" t="s">
        <v>423</v>
      </c>
      <c r="D255" s="383" t="s">
        <v>331</v>
      </c>
      <c r="E255" s="508" t="s">
        <v>427</v>
      </c>
      <c r="F255" s="383"/>
      <c r="G255" s="506" t="s">
        <v>557</v>
      </c>
      <c r="H255" s="508" t="s">
        <v>427</v>
      </c>
      <c r="I255" s="506" t="s">
        <v>557</v>
      </c>
      <c r="J255" s="508" t="s">
        <v>427</v>
      </c>
      <c r="K255" s="508"/>
      <c r="L255" s="508"/>
      <c r="M255" s="566"/>
      <c r="N255" s="508"/>
      <c r="O255" s="148">
        <f>16*2+48*2</f>
        <v>128</v>
      </c>
      <c r="P255" s="148">
        <f>O255*0.01</f>
        <v>1.28</v>
      </c>
      <c r="Q255" s="166"/>
      <c r="R255" s="379"/>
      <c r="IT255" s="112"/>
    </row>
    <row r="256" spans="1:254" ht="110.25">
      <c r="B256" s="438" t="s">
        <v>470</v>
      </c>
      <c r="C256" s="540" t="s">
        <v>407</v>
      </c>
      <c r="D256" s="541" t="s">
        <v>570</v>
      </c>
      <c r="E256" s="441">
        <v>27.577999999999999</v>
      </c>
      <c r="F256" s="438"/>
      <c r="G256" s="636" t="s">
        <v>264</v>
      </c>
      <c r="H256" s="441">
        <v>27.577999999999999</v>
      </c>
      <c r="I256" s="636" t="s">
        <v>264</v>
      </c>
      <c r="J256" s="441">
        <v>27.577999999999999</v>
      </c>
      <c r="K256" s="441"/>
      <c r="L256" s="441"/>
      <c r="M256" s="441"/>
      <c r="N256" s="441"/>
      <c r="O256" s="148">
        <f>O251*41.6+P251*44.7+Q251*86.5+R251*63.9</f>
        <v>27.578324800000001</v>
      </c>
      <c r="P256" s="148"/>
      <c r="Q256" s="166"/>
      <c r="R256" s="379"/>
      <c r="IT256" s="112"/>
    </row>
    <row r="257" spans="1:254" ht="47.25">
      <c r="B257" s="390" t="s">
        <v>471</v>
      </c>
      <c r="C257" s="393" t="s">
        <v>428</v>
      </c>
      <c r="D257" s="390" t="s">
        <v>141</v>
      </c>
      <c r="E257" s="391">
        <v>0.379</v>
      </c>
      <c r="F257" s="390"/>
      <c r="G257" s="391" t="s">
        <v>264</v>
      </c>
      <c r="H257" s="391">
        <v>0.379</v>
      </c>
      <c r="I257" s="391" t="s">
        <v>264</v>
      </c>
      <c r="J257" s="391">
        <v>0.379</v>
      </c>
      <c r="K257" s="391"/>
      <c r="L257" s="391"/>
      <c r="M257" s="391"/>
      <c r="N257" s="391"/>
      <c r="O257" s="148">
        <f>19.6*0.707*16/1000+35.18*0.707*4/1000</f>
        <v>0.32120423999999997</v>
      </c>
      <c r="P257" s="148">
        <f>15.9*0.154*16/1000+30.81*0.154*4/1000</f>
        <v>5.8156559999999996E-2</v>
      </c>
      <c r="Q257" s="148">
        <f>P257+O257</f>
        <v>0.37936079999999994</v>
      </c>
      <c r="R257" s="379"/>
      <c r="IT257" s="112"/>
    </row>
    <row r="258" spans="1:254" ht="63.2" customHeight="1" thickBot="1">
      <c r="A258" s="463" t="s">
        <v>510</v>
      </c>
      <c r="B258" s="509"/>
      <c r="C258" s="510"/>
      <c r="D258" s="407"/>
      <c r="E258" s="519"/>
      <c r="F258" s="407"/>
      <c r="G258" s="519"/>
      <c r="H258" s="519"/>
      <c r="I258" s="519"/>
      <c r="J258" s="519"/>
      <c r="K258" s="519"/>
      <c r="L258" s="519"/>
      <c r="M258" s="519"/>
      <c r="N258" s="637"/>
      <c r="O258" s="148"/>
      <c r="P258" s="148"/>
      <c r="Q258" s="148"/>
      <c r="R258" s="99"/>
      <c r="IT258" s="112"/>
    </row>
    <row r="259" spans="1:254" ht="30" customHeight="1" thickBot="1">
      <c r="A259" s="463" t="s">
        <v>510</v>
      </c>
      <c r="B259" s="499"/>
      <c r="C259" s="514"/>
      <c r="D259" s="499"/>
      <c r="E259" s="520"/>
      <c r="F259" s="499"/>
      <c r="G259" s="520"/>
      <c r="H259" s="520"/>
      <c r="I259" s="520"/>
      <c r="J259" s="520"/>
      <c r="K259" s="520"/>
      <c r="L259" s="520"/>
      <c r="M259" s="520"/>
      <c r="N259" s="520"/>
      <c r="O259" s="148"/>
      <c r="P259" s="148"/>
      <c r="Q259" s="148"/>
      <c r="R259" s="99"/>
      <c r="IT259" s="112"/>
    </row>
    <row r="260" spans="1:254" ht="36" customHeight="1" thickBot="1">
      <c r="A260" s="463" t="s">
        <v>510</v>
      </c>
      <c r="B260" s="642" t="s">
        <v>35</v>
      </c>
      <c r="C260" s="642" t="s">
        <v>36</v>
      </c>
      <c r="D260" s="642" t="s">
        <v>37</v>
      </c>
      <c r="E260" s="642" t="s">
        <v>92</v>
      </c>
      <c r="F260" s="642" t="s">
        <v>18</v>
      </c>
      <c r="G260" s="645" t="s">
        <v>100</v>
      </c>
      <c r="H260" s="646"/>
      <c r="I260" s="646"/>
      <c r="J260" s="646"/>
      <c r="K260" s="646"/>
      <c r="L260" s="646"/>
      <c r="M260" s="646"/>
      <c r="N260" s="647"/>
      <c r="O260" s="134"/>
      <c r="P260" s="134"/>
      <c r="Q260" s="134"/>
      <c r="R260" s="134"/>
    </row>
    <row r="261" spans="1:254" ht="15.75" customHeight="1" thickBot="1">
      <c r="A261" s="463" t="s">
        <v>510</v>
      </c>
      <c r="B261" s="643"/>
      <c r="C261" s="643"/>
      <c r="D261" s="643"/>
      <c r="E261" s="643"/>
      <c r="F261" s="643"/>
      <c r="G261" s="645" t="s">
        <v>553</v>
      </c>
      <c r="H261" s="648"/>
      <c r="I261" s="645" t="s">
        <v>575</v>
      </c>
      <c r="J261" s="648"/>
      <c r="K261" s="645" t="s">
        <v>554</v>
      </c>
      <c r="L261" s="648"/>
      <c r="M261" s="645" t="s">
        <v>554</v>
      </c>
      <c r="N261" s="648"/>
      <c r="O261" s="134"/>
      <c r="P261" s="134"/>
      <c r="Q261" s="134"/>
      <c r="R261" s="134"/>
    </row>
    <row r="262" spans="1:254" ht="16.5" thickBot="1">
      <c r="A262" s="463" t="s">
        <v>510</v>
      </c>
      <c r="B262" s="644"/>
      <c r="C262" s="644"/>
      <c r="D262" s="644"/>
      <c r="E262" s="644"/>
      <c r="F262" s="644"/>
      <c r="G262" s="118" t="s">
        <v>38</v>
      </c>
      <c r="H262" s="118" t="s">
        <v>39</v>
      </c>
      <c r="I262" s="118" t="s">
        <v>38</v>
      </c>
      <c r="J262" s="118" t="s">
        <v>39</v>
      </c>
      <c r="K262" s="118" t="s">
        <v>38</v>
      </c>
      <c r="L262" s="118" t="s">
        <v>39</v>
      </c>
      <c r="M262" s="118" t="s">
        <v>38</v>
      </c>
      <c r="N262" s="118" t="s">
        <v>39</v>
      </c>
      <c r="O262" s="134"/>
      <c r="P262" s="134"/>
      <c r="Q262" s="134"/>
      <c r="R262" s="134"/>
    </row>
    <row r="263" spans="1:254">
      <c r="A263" s="463" t="s">
        <v>510</v>
      </c>
      <c r="B263" s="119" t="s">
        <v>115</v>
      </c>
      <c r="C263" s="120" t="s">
        <v>116</v>
      </c>
      <c r="D263" s="120" t="s">
        <v>117</v>
      </c>
      <c r="E263" s="120" t="s">
        <v>118</v>
      </c>
      <c r="F263" s="119" t="s">
        <v>119</v>
      </c>
      <c r="G263" s="121" t="s">
        <v>120</v>
      </c>
      <c r="H263" s="121" t="s">
        <v>121</v>
      </c>
      <c r="I263" s="122">
        <v>8</v>
      </c>
      <c r="J263" s="123">
        <v>9</v>
      </c>
      <c r="K263" s="124">
        <v>10</v>
      </c>
      <c r="L263" s="123">
        <v>11</v>
      </c>
      <c r="M263" s="124">
        <v>12</v>
      </c>
      <c r="N263" s="123">
        <v>13</v>
      </c>
      <c r="O263" s="125"/>
      <c r="P263" s="125"/>
      <c r="Q263" s="125"/>
      <c r="R263" s="125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  <c r="AY263" s="99"/>
      <c r="AZ263" s="99"/>
      <c r="BA263" s="99"/>
      <c r="BB263" s="99"/>
      <c r="BC263" s="99"/>
      <c r="BD263" s="99"/>
      <c r="BE263" s="99"/>
      <c r="BF263" s="99"/>
      <c r="BG263" s="99"/>
      <c r="BH263" s="99"/>
      <c r="BI263" s="99"/>
      <c r="BJ263" s="99"/>
      <c r="BK263" s="99"/>
      <c r="BL263" s="99"/>
      <c r="BM263" s="99"/>
      <c r="BN263" s="99"/>
      <c r="BO263" s="99"/>
      <c r="BP263" s="99"/>
      <c r="BQ263" s="99"/>
      <c r="BR263" s="99"/>
      <c r="BS263" s="99"/>
      <c r="BT263" s="99"/>
      <c r="BU263" s="99"/>
      <c r="BV263" s="99"/>
      <c r="BW263" s="99"/>
      <c r="BX263" s="99"/>
      <c r="BY263" s="99"/>
      <c r="BZ263" s="99"/>
      <c r="CA263" s="99"/>
      <c r="CB263" s="99"/>
      <c r="CC263" s="99"/>
      <c r="CD263" s="99"/>
      <c r="CE263" s="99"/>
      <c r="CF263" s="99"/>
      <c r="CG263" s="99"/>
      <c r="CH263" s="99"/>
      <c r="CI263" s="99"/>
      <c r="CJ263" s="99"/>
      <c r="CK263" s="99"/>
      <c r="CL263" s="99"/>
      <c r="CM263" s="99"/>
      <c r="CN263" s="99"/>
      <c r="CO263" s="99"/>
      <c r="CP263" s="99"/>
      <c r="CQ263" s="99"/>
      <c r="CR263" s="99"/>
      <c r="CS263" s="99"/>
      <c r="CT263" s="99"/>
      <c r="CU263" s="99"/>
      <c r="CV263" s="99"/>
      <c r="CW263" s="99"/>
      <c r="CX263" s="99"/>
      <c r="CY263" s="99"/>
      <c r="CZ263" s="99"/>
      <c r="DA263" s="99"/>
      <c r="DB263" s="99"/>
      <c r="DC263" s="99"/>
      <c r="DD263" s="99"/>
      <c r="DE263" s="99"/>
      <c r="DF263" s="99"/>
      <c r="DG263" s="99"/>
      <c r="DH263" s="99"/>
      <c r="DI263" s="99"/>
      <c r="DJ263" s="99"/>
      <c r="DK263" s="99"/>
      <c r="DL263" s="99"/>
      <c r="DM263" s="99"/>
      <c r="DN263" s="99"/>
      <c r="DO263" s="99"/>
      <c r="DP263" s="99"/>
      <c r="DQ263" s="99"/>
      <c r="DR263" s="99"/>
      <c r="DS263" s="99"/>
      <c r="DT263" s="99"/>
      <c r="DU263" s="99"/>
      <c r="DV263" s="99"/>
      <c r="DW263" s="99"/>
      <c r="DX263" s="99"/>
      <c r="DY263" s="99"/>
      <c r="DZ263" s="99"/>
      <c r="EA263" s="99"/>
      <c r="EB263" s="99"/>
      <c r="EC263" s="99"/>
      <c r="ED263" s="99"/>
      <c r="EE263" s="99"/>
      <c r="EF263" s="99"/>
      <c r="EG263" s="99"/>
      <c r="EH263" s="99"/>
      <c r="EI263" s="99"/>
      <c r="EJ263" s="99"/>
      <c r="EK263" s="99"/>
      <c r="EL263" s="99"/>
      <c r="EM263" s="99"/>
      <c r="EN263" s="99"/>
      <c r="EO263" s="99"/>
      <c r="EP263" s="99"/>
      <c r="EQ263" s="99"/>
      <c r="ER263" s="99"/>
      <c r="ES263" s="99"/>
      <c r="ET263" s="99"/>
      <c r="EU263" s="99"/>
      <c r="EV263" s="99"/>
      <c r="EW263" s="99"/>
      <c r="EX263" s="99"/>
      <c r="EY263" s="99"/>
      <c r="EZ263" s="99"/>
      <c r="FA263" s="99"/>
      <c r="FB263" s="99"/>
      <c r="FC263" s="99"/>
      <c r="FD263" s="99"/>
      <c r="FE263" s="99"/>
      <c r="FF263" s="99"/>
      <c r="FG263" s="99"/>
      <c r="FH263" s="99"/>
      <c r="FI263" s="99"/>
      <c r="FJ263" s="99"/>
      <c r="FK263" s="99"/>
      <c r="FL263" s="99"/>
      <c r="FM263" s="99"/>
      <c r="FN263" s="99"/>
      <c r="FO263" s="99"/>
      <c r="FP263" s="99"/>
      <c r="FQ263" s="99"/>
      <c r="FR263" s="99"/>
      <c r="FS263" s="99"/>
      <c r="FT263" s="99"/>
      <c r="FU263" s="99"/>
      <c r="FV263" s="99"/>
      <c r="FW263" s="99"/>
      <c r="FX263" s="99"/>
      <c r="FY263" s="99"/>
      <c r="FZ263" s="99"/>
      <c r="GA263" s="99"/>
      <c r="GB263" s="99"/>
      <c r="GC263" s="99"/>
      <c r="GD263" s="99"/>
      <c r="GE263" s="99"/>
      <c r="GF263" s="99"/>
      <c r="GG263" s="99"/>
      <c r="GH263" s="99"/>
      <c r="GI263" s="99"/>
      <c r="GJ263" s="99"/>
      <c r="GK263" s="99"/>
      <c r="GL263" s="99"/>
      <c r="GM263" s="99"/>
      <c r="GN263" s="99"/>
      <c r="GO263" s="99"/>
      <c r="GP263" s="99"/>
      <c r="GQ263" s="99"/>
      <c r="GR263" s="99"/>
      <c r="GS263" s="99"/>
      <c r="GT263" s="99"/>
      <c r="GU263" s="99"/>
      <c r="GV263" s="99"/>
      <c r="GW263" s="99"/>
      <c r="GX263" s="99"/>
      <c r="GY263" s="99"/>
      <c r="GZ263" s="99"/>
      <c r="HA263" s="99"/>
      <c r="HB263" s="99"/>
      <c r="HC263" s="99"/>
      <c r="HD263" s="99"/>
      <c r="HE263" s="99"/>
      <c r="HF263" s="99"/>
      <c r="HG263" s="99"/>
      <c r="HH263" s="99"/>
      <c r="HI263" s="99"/>
      <c r="HJ263" s="99"/>
      <c r="HK263" s="99"/>
      <c r="HL263" s="99"/>
      <c r="HM263" s="99"/>
      <c r="HN263" s="99"/>
      <c r="HO263" s="99"/>
      <c r="HP263" s="99"/>
      <c r="HQ263" s="99"/>
      <c r="HR263" s="99"/>
      <c r="HS263" s="99"/>
      <c r="HT263" s="99"/>
      <c r="HU263" s="99"/>
      <c r="HV263" s="99"/>
      <c r="HW263" s="99"/>
      <c r="HX263" s="99"/>
      <c r="HY263" s="99"/>
      <c r="HZ263" s="99"/>
      <c r="IA263" s="99"/>
      <c r="IB263" s="99"/>
      <c r="IC263" s="99"/>
      <c r="ID263" s="99"/>
      <c r="IE263" s="99"/>
      <c r="IF263" s="99"/>
      <c r="IG263" s="99"/>
      <c r="IH263" s="99"/>
      <c r="II263" s="99"/>
      <c r="IJ263" s="99"/>
    </row>
    <row r="264" spans="1:254" ht="31.5">
      <c r="B264" s="394" t="s">
        <v>472</v>
      </c>
      <c r="C264" s="395" t="s">
        <v>406</v>
      </c>
      <c r="D264" s="402" t="s">
        <v>141</v>
      </c>
      <c r="E264" s="634">
        <v>0.379</v>
      </c>
      <c r="F264" s="394"/>
      <c r="G264" s="397" t="s">
        <v>264</v>
      </c>
      <c r="H264" s="634">
        <v>0.379</v>
      </c>
      <c r="I264" s="397" t="s">
        <v>264</v>
      </c>
      <c r="J264" s="634">
        <v>0.379</v>
      </c>
      <c r="K264" s="634"/>
      <c r="L264" s="635"/>
      <c r="M264" s="634"/>
      <c r="N264" s="634"/>
      <c r="O264" s="148">
        <f>K257</f>
        <v>0</v>
      </c>
      <c r="P264" s="166"/>
      <c r="Q264" s="379"/>
      <c r="R264" s="144"/>
      <c r="IT264" s="112"/>
    </row>
    <row r="265" spans="1:254" ht="16.5" thickBot="1">
      <c r="B265" s="411"/>
      <c r="C265" s="412" t="s">
        <v>430</v>
      </c>
      <c r="D265" s="413"/>
      <c r="E265" s="414"/>
      <c r="F265" s="415"/>
      <c r="G265" s="416"/>
      <c r="H265" s="414"/>
      <c r="I265" s="416"/>
      <c r="J265" s="414"/>
      <c r="K265" s="416"/>
      <c r="L265" s="414"/>
      <c r="M265" s="416"/>
      <c r="N265" s="414"/>
      <c r="IT265" s="112"/>
    </row>
    <row r="266" spans="1:254" ht="18.75">
      <c r="B266" s="451" t="s">
        <v>473</v>
      </c>
      <c r="C266" s="610" t="s">
        <v>402</v>
      </c>
      <c r="D266" s="451" t="s">
        <v>569</v>
      </c>
      <c r="E266" s="611">
        <v>1.008</v>
      </c>
      <c r="F266" s="451"/>
      <c r="G266" s="612" t="s">
        <v>264</v>
      </c>
      <c r="H266" s="611">
        <v>1.008</v>
      </c>
      <c r="I266" s="612" t="s">
        <v>264</v>
      </c>
      <c r="J266" s="611">
        <v>1.008</v>
      </c>
      <c r="K266" s="611"/>
      <c r="L266" s="611"/>
      <c r="M266" s="611"/>
      <c r="N266" s="611"/>
      <c r="O266" s="148">
        <f>0.6*1.4*0.1*4*3</f>
        <v>1.008</v>
      </c>
      <c r="P266" s="148"/>
      <c r="Q266" s="148"/>
      <c r="R266" s="378"/>
      <c r="IT266" s="112"/>
    </row>
    <row r="267" spans="1:254" ht="34.5">
      <c r="B267" s="390" t="s">
        <v>474</v>
      </c>
      <c r="C267" s="393" t="s">
        <v>443</v>
      </c>
      <c r="D267" s="386" t="s">
        <v>444</v>
      </c>
      <c r="E267" s="385" t="s">
        <v>436</v>
      </c>
      <c r="F267" s="386"/>
      <c r="G267" s="387" t="s">
        <v>557</v>
      </c>
      <c r="H267" s="385" t="s">
        <v>436</v>
      </c>
      <c r="I267" s="387" t="s">
        <v>557</v>
      </c>
      <c r="J267" s="385" t="s">
        <v>436</v>
      </c>
      <c r="K267" s="385"/>
      <c r="L267" s="385"/>
      <c r="M267" s="252"/>
      <c r="N267" s="385"/>
      <c r="O267" s="148">
        <f>1.2*0.6*0.4*4*3</f>
        <v>3.4559999999999995</v>
      </c>
      <c r="P267" s="148"/>
      <c r="Q267" s="148"/>
      <c r="R267" s="378"/>
      <c r="IT267" s="112"/>
    </row>
    <row r="268" spans="1:254" ht="31.5">
      <c r="B268" s="394" t="s">
        <v>475</v>
      </c>
      <c r="C268" s="395" t="s">
        <v>403</v>
      </c>
      <c r="D268" s="394" t="s">
        <v>570</v>
      </c>
      <c r="E268" s="388">
        <v>15.36</v>
      </c>
      <c r="F268" s="383"/>
      <c r="G268" s="384" t="s">
        <v>264</v>
      </c>
      <c r="H268" s="388">
        <v>15.36</v>
      </c>
      <c r="I268" s="384" t="s">
        <v>264</v>
      </c>
      <c r="J268" s="388">
        <v>15.36</v>
      </c>
      <c r="K268" s="388"/>
      <c r="L268" s="388"/>
      <c r="M268" s="388"/>
      <c r="N268" s="388"/>
      <c r="O268" s="148">
        <f>(1.2*2+0.4*2)*0.4*4*3</f>
        <v>15.360000000000003</v>
      </c>
      <c r="P268" s="148"/>
      <c r="Q268" s="166"/>
      <c r="R268" s="99"/>
      <c r="IT268" s="112"/>
    </row>
    <row r="269" spans="1:254">
      <c r="B269" s="390" t="s">
        <v>476</v>
      </c>
      <c r="C269" s="393" t="s">
        <v>404</v>
      </c>
      <c r="D269" s="390" t="s">
        <v>165</v>
      </c>
      <c r="E269" s="389" t="s">
        <v>437</v>
      </c>
      <c r="F269" s="390"/>
      <c r="G269" s="387" t="s">
        <v>557</v>
      </c>
      <c r="H269" s="389" t="s">
        <v>437</v>
      </c>
      <c r="I269" s="387" t="s">
        <v>557</v>
      </c>
      <c r="J269" s="389" t="s">
        <v>437</v>
      </c>
      <c r="K269" s="389"/>
      <c r="L269" s="389"/>
      <c r="M269" s="252"/>
      <c r="N269" s="389"/>
      <c r="O269" s="148">
        <f>0.13*4*3/1000</f>
        <v>1.56E-3</v>
      </c>
      <c r="P269" s="148"/>
      <c r="Q269" s="166"/>
      <c r="R269" s="379"/>
      <c r="IT269" s="112"/>
    </row>
    <row r="270" spans="1:254">
      <c r="B270" s="390" t="s">
        <v>477</v>
      </c>
      <c r="C270" s="395" t="s">
        <v>417</v>
      </c>
      <c r="D270" s="394" t="s">
        <v>394</v>
      </c>
      <c r="E270" s="396">
        <v>12</v>
      </c>
      <c r="F270" s="394"/>
      <c r="G270" s="397" t="s">
        <v>264</v>
      </c>
      <c r="H270" s="396">
        <v>12</v>
      </c>
      <c r="I270" s="397" t="s">
        <v>264</v>
      </c>
      <c r="J270" s="396">
        <v>12</v>
      </c>
      <c r="K270" s="396"/>
      <c r="L270" s="396"/>
      <c r="M270" s="396"/>
      <c r="N270" s="396"/>
      <c r="O270" s="148"/>
      <c r="P270" s="148"/>
      <c r="Q270" s="166"/>
      <c r="R270" s="379"/>
      <c r="IT270" s="112"/>
    </row>
    <row r="271" spans="1:254" ht="34.5">
      <c r="B271" s="390" t="s">
        <v>478</v>
      </c>
      <c r="C271" s="393" t="s">
        <v>446</v>
      </c>
      <c r="D271" s="386" t="s">
        <v>444</v>
      </c>
      <c r="E271" s="385" t="s">
        <v>434</v>
      </c>
      <c r="F271" s="386"/>
      <c r="G271" s="387" t="s">
        <v>557</v>
      </c>
      <c r="H271" s="385" t="s">
        <v>434</v>
      </c>
      <c r="I271" s="387" t="s">
        <v>557</v>
      </c>
      <c r="J271" s="385" t="s">
        <v>434</v>
      </c>
      <c r="K271" s="385"/>
      <c r="L271" s="385"/>
      <c r="M271" s="252"/>
      <c r="N271" s="385"/>
      <c r="O271" s="148">
        <f>18*3</f>
        <v>54</v>
      </c>
      <c r="P271" s="148">
        <f>O271*100/1000</f>
        <v>5.4</v>
      </c>
      <c r="Q271" s="166"/>
      <c r="R271" s="379"/>
      <c r="IT271" s="112"/>
    </row>
    <row r="272" spans="1:254" ht="16.5" thickBot="1">
      <c r="B272" s="406"/>
      <c r="C272" s="406" t="s">
        <v>537</v>
      </c>
      <c r="D272" s="406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148"/>
      <c r="P272" s="148"/>
      <c r="Q272" s="166"/>
      <c r="R272" s="379"/>
      <c r="IT272" s="112"/>
    </row>
    <row r="273" spans="1:254" ht="47.25">
      <c r="B273" s="390" t="s">
        <v>479</v>
      </c>
      <c r="C273" s="395" t="s">
        <v>541</v>
      </c>
      <c r="D273" s="394" t="s">
        <v>141</v>
      </c>
      <c r="E273" s="397">
        <v>0.72699999999999998</v>
      </c>
      <c r="F273" s="394"/>
      <c r="G273" s="397" t="s">
        <v>264</v>
      </c>
      <c r="H273" s="397">
        <v>0.72699999999999998</v>
      </c>
      <c r="I273" s="397" t="s">
        <v>264</v>
      </c>
      <c r="J273" s="397">
        <v>0.72699999999999998</v>
      </c>
      <c r="K273" s="397"/>
      <c r="L273" s="397"/>
      <c r="M273" s="397"/>
      <c r="N273" s="397"/>
      <c r="O273" s="148">
        <f>(4*5.17+2*41+2*39.96+2*21.7+4*1.93+4*2.16)*3/1000</f>
        <v>0.72708000000000006</v>
      </c>
      <c r="P273" s="148">
        <f>4*0.2*3/1000</f>
        <v>2.4000000000000002E-3</v>
      </c>
      <c r="Q273" s="148">
        <f>P273+O273</f>
        <v>0.72948000000000002</v>
      </c>
      <c r="R273" s="379"/>
      <c r="IT273" s="112"/>
    </row>
    <row r="274" spans="1:254" ht="31.5">
      <c r="B274" s="390" t="s">
        <v>480</v>
      </c>
      <c r="C274" s="395" t="s">
        <v>421</v>
      </c>
      <c r="D274" s="394" t="s">
        <v>573</v>
      </c>
      <c r="E274" s="403" t="s">
        <v>543</v>
      </c>
      <c r="F274" s="394"/>
      <c r="G274" s="387" t="s">
        <v>557</v>
      </c>
      <c r="H274" s="403" t="s">
        <v>543</v>
      </c>
      <c r="I274" s="387" t="s">
        <v>557</v>
      </c>
      <c r="J274" s="403" t="s">
        <v>543</v>
      </c>
      <c r="K274" s="403"/>
      <c r="L274" s="403"/>
      <c r="M274" s="252"/>
      <c r="N274" s="403"/>
      <c r="O274" s="148">
        <f>26.34*3</f>
        <v>79.02</v>
      </c>
      <c r="P274" s="148">
        <f>O274*7.4/1000</f>
        <v>0.58474800000000005</v>
      </c>
      <c r="Q274" s="166"/>
      <c r="R274" s="379"/>
      <c r="IT274" s="112"/>
    </row>
    <row r="275" spans="1:254" ht="110.25">
      <c r="B275" s="438" t="s">
        <v>482</v>
      </c>
      <c r="C275" s="540" t="s">
        <v>407</v>
      </c>
      <c r="D275" s="541" t="s">
        <v>570</v>
      </c>
      <c r="E275" s="441">
        <v>32.113999999999997</v>
      </c>
      <c r="F275" s="438"/>
      <c r="G275" s="384" t="s">
        <v>264</v>
      </c>
      <c r="H275" s="441">
        <v>32.113999999999997</v>
      </c>
      <c r="I275" s="384" t="s">
        <v>264</v>
      </c>
      <c r="J275" s="441">
        <v>32.113999999999997</v>
      </c>
      <c r="K275" s="441"/>
      <c r="L275" s="441"/>
      <c r="M275" s="441"/>
      <c r="N275" s="441"/>
      <c r="O275" s="148">
        <f>O273*44+P273*50.9</f>
        <v>32.113680000000002</v>
      </c>
      <c r="P275" s="148"/>
      <c r="Q275" s="166"/>
      <c r="R275" s="379"/>
      <c r="IT275" s="112"/>
    </row>
    <row r="276" spans="1:254">
      <c r="B276" s="503"/>
      <c r="C276" s="503" t="s">
        <v>539</v>
      </c>
      <c r="D276" s="503"/>
      <c r="E276" s="503"/>
      <c r="F276" s="503"/>
      <c r="G276" s="503"/>
      <c r="H276" s="503"/>
      <c r="I276" s="503"/>
      <c r="J276" s="503"/>
      <c r="K276" s="503"/>
      <c r="L276" s="503"/>
      <c r="M276" s="503"/>
      <c r="N276" s="503"/>
      <c r="O276" s="148"/>
      <c r="P276" s="148"/>
      <c r="Q276" s="166"/>
      <c r="R276" s="379"/>
      <c r="IT276" s="112"/>
    </row>
    <row r="277" spans="1:254" ht="78.75">
      <c r="B277" s="394" t="s">
        <v>481</v>
      </c>
      <c r="C277" s="395" t="s">
        <v>544</v>
      </c>
      <c r="D277" s="394" t="s">
        <v>141</v>
      </c>
      <c r="E277" s="397">
        <v>1.399</v>
      </c>
      <c r="F277" s="394"/>
      <c r="G277" s="397" t="s">
        <v>264</v>
      </c>
      <c r="H277" s="397">
        <v>1.399</v>
      </c>
      <c r="I277" s="397" t="s">
        <v>264</v>
      </c>
      <c r="J277" s="397">
        <v>1.399</v>
      </c>
      <c r="K277" s="397"/>
      <c r="L277" s="397"/>
      <c r="M277" s="397"/>
      <c r="N277" s="397"/>
      <c r="O277" s="148">
        <f>28*12.3*3/1000</f>
        <v>1.0332000000000001</v>
      </c>
      <c r="P277" s="148">
        <f>8.28*10.4*3/1000</f>
        <v>0.25833600000000001</v>
      </c>
      <c r="Q277" s="166">
        <f>27.38*1.12*3/1000</f>
        <v>9.1996800000000004E-2</v>
      </c>
      <c r="R277" s="379">
        <f>18*0.29*3/1000</f>
        <v>1.566E-2</v>
      </c>
      <c r="S277" s="401">
        <f>R277+Q277+P277+O277</f>
        <v>1.3991928000000002</v>
      </c>
      <c r="T277">
        <f>S27+S277+Q278+P279/1000+P280/1000+P281/1000+Q289</f>
        <v>2.5576080800000005</v>
      </c>
      <c r="IT277" s="112"/>
    </row>
    <row r="278" spans="1:254" ht="47.25">
      <c r="B278" s="390" t="s">
        <v>483</v>
      </c>
      <c r="C278" s="395" t="s">
        <v>422</v>
      </c>
      <c r="D278" s="394" t="s">
        <v>141</v>
      </c>
      <c r="E278" s="397">
        <v>0.14399999999999999</v>
      </c>
      <c r="F278" s="394"/>
      <c r="G278" s="397" t="s">
        <v>264</v>
      </c>
      <c r="H278" s="397">
        <v>0.14399999999999999</v>
      </c>
      <c r="I278" s="397" t="s">
        <v>264</v>
      </c>
      <c r="J278" s="397">
        <v>0.14399999999999999</v>
      </c>
      <c r="K278" s="397"/>
      <c r="L278" s="397"/>
      <c r="M278" s="397"/>
      <c r="N278" s="397"/>
      <c r="O278" s="1">
        <f>(2*0.89+2*0.88+4*0.67)*2*3/1000</f>
        <v>3.7320000000000006E-2</v>
      </c>
      <c r="P278" s="148">
        <f>(2*4.48+2*4.37)*2*3/1000</f>
        <v>0.10620000000000002</v>
      </c>
      <c r="Q278" s="148">
        <f>P278+O278</f>
        <v>0.14352000000000004</v>
      </c>
      <c r="R278" s="379"/>
      <c r="IT278" s="112"/>
    </row>
    <row r="279" spans="1:254">
      <c r="B279" s="390" t="s">
        <v>484</v>
      </c>
      <c r="C279" s="395" t="s">
        <v>423</v>
      </c>
      <c r="D279" s="394" t="s">
        <v>331</v>
      </c>
      <c r="E279" s="396" t="s">
        <v>438</v>
      </c>
      <c r="F279" s="394"/>
      <c r="G279" s="387" t="s">
        <v>557</v>
      </c>
      <c r="H279" s="396" t="s">
        <v>438</v>
      </c>
      <c r="I279" s="387" t="s">
        <v>557</v>
      </c>
      <c r="J279" s="396" t="s">
        <v>438</v>
      </c>
      <c r="K279" s="396"/>
      <c r="L279" s="396"/>
      <c r="M279" s="252"/>
      <c r="N279" s="396"/>
      <c r="O279" s="148">
        <f>8*6+36*3</f>
        <v>156</v>
      </c>
      <c r="P279" s="148">
        <f>O279*0.05</f>
        <v>7.8000000000000007</v>
      </c>
      <c r="Q279" s="166"/>
      <c r="R279" s="379"/>
      <c r="IT279" s="112"/>
    </row>
    <row r="280" spans="1:254">
      <c r="B280" s="438" t="s">
        <v>485</v>
      </c>
      <c r="C280" s="392" t="s">
        <v>424</v>
      </c>
      <c r="D280" s="383" t="s">
        <v>331</v>
      </c>
      <c r="E280" s="508" t="s">
        <v>439</v>
      </c>
      <c r="F280" s="383"/>
      <c r="G280" s="506" t="s">
        <v>557</v>
      </c>
      <c r="H280" s="508" t="s">
        <v>439</v>
      </c>
      <c r="I280" s="506" t="s">
        <v>557</v>
      </c>
      <c r="J280" s="508" t="s">
        <v>439</v>
      </c>
      <c r="K280" s="508"/>
      <c r="L280" s="508"/>
      <c r="M280" s="566"/>
      <c r="N280" s="508"/>
      <c r="O280" s="148">
        <f>8*2*3+36*3</f>
        <v>156</v>
      </c>
      <c r="P280" s="148">
        <f>O280*0.02</f>
        <v>3.12</v>
      </c>
      <c r="Q280" s="166"/>
      <c r="R280" s="379"/>
      <c r="IT280" s="112"/>
    </row>
    <row r="281" spans="1:254">
      <c r="B281" s="390" t="s">
        <v>486</v>
      </c>
      <c r="C281" s="393" t="s">
        <v>423</v>
      </c>
      <c r="D281" s="390" t="s">
        <v>331</v>
      </c>
      <c r="E281" s="624" t="s">
        <v>440</v>
      </c>
      <c r="F281" s="390"/>
      <c r="G281" s="387" t="s">
        <v>557</v>
      </c>
      <c r="H281" s="624" t="s">
        <v>440</v>
      </c>
      <c r="I281" s="387" t="s">
        <v>557</v>
      </c>
      <c r="J281" s="624" t="s">
        <v>440</v>
      </c>
      <c r="K281" s="624"/>
      <c r="L281" s="624"/>
      <c r="M281" s="252"/>
      <c r="N281" s="624"/>
      <c r="O281" s="148">
        <f>16*2+72*3</f>
        <v>248</v>
      </c>
      <c r="P281" s="148">
        <f>O281*0.01</f>
        <v>2.48</v>
      </c>
      <c r="Q281" s="166"/>
      <c r="R281" s="379"/>
      <c r="IT281" s="112"/>
    </row>
    <row r="282" spans="1:254" ht="153" customHeight="1" thickBot="1">
      <c r="A282" s="463" t="s">
        <v>510</v>
      </c>
      <c r="B282" s="509"/>
      <c r="C282" s="510"/>
      <c r="D282" s="407"/>
      <c r="E282" s="625"/>
      <c r="F282" s="407"/>
      <c r="G282" s="513"/>
      <c r="H282" s="625"/>
      <c r="I282" s="513"/>
      <c r="J282" s="625"/>
      <c r="K282" s="625"/>
      <c r="L282" s="625"/>
      <c r="M282" s="474"/>
      <c r="N282" s="626"/>
      <c r="O282" s="148"/>
      <c r="P282" s="148"/>
      <c r="Q282" s="166"/>
      <c r="R282" s="379"/>
      <c r="IT282" s="112"/>
    </row>
    <row r="283" spans="1:254" ht="30" customHeight="1" thickBot="1">
      <c r="A283" s="463" t="s">
        <v>510</v>
      </c>
      <c r="B283" s="499"/>
      <c r="C283" s="514"/>
      <c r="D283" s="499"/>
      <c r="E283" s="627"/>
      <c r="F283" s="499"/>
      <c r="G283" s="517"/>
      <c r="H283" s="627"/>
      <c r="I283" s="517"/>
      <c r="J283" s="627"/>
      <c r="K283" s="627"/>
      <c r="L283" s="627"/>
      <c r="M283" s="478"/>
      <c r="N283" s="627"/>
      <c r="O283" s="148"/>
      <c r="P283" s="148"/>
      <c r="Q283" s="166"/>
      <c r="R283" s="379"/>
      <c r="IT283" s="112"/>
    </row>
    <row r="284" spans="1:254" ht="36" customHeight="1" thickBot="1">
      <c r="A284" s="463" t="s">
        <v>510</v>
      </c>
      <c r="B284" s="642" t="s">
        <v>35</v>
      </c>
      <c r="C284" s="642" t="s">
        <v>36</v>
      </c>
      <c r="D284" s="642" t="s">
        <v>37</v>
      </c>
      <c r="E284" s="642" t="s">
        <v>92</v>
      </c>
      <c r="F284" s="642" t="s">
        <v>18</v>
      </c>
      <c r="G284" s="645" t="s">
        <v>100</v>
      </c>
      <c r="H284" s="646"/>
      <c r="I284" s="646"/>
      <c r="J284" s="646"/>
      <c r="K284" s="646"/>
      <c r="L284" s="646"/>
      <c r="M284" s="646"/>
      <c r="N284" s="647"/>
      <c r="O284" s="134"/>
      <c r="P284" s="134"/>
      <c r="Q284" s="134"/>
      <c r="R284" s="134"/>
    </row>
    <row r="285" spans="1:254" ht="15.75" customHeight="1" thickBot="1">
      <c r="A285" s="463" t="s">
        <v>510</v>
      </c>
      <c r="B285" s="643"/>
      <c r="C285" s="643"/>
      <c r="D285" s="643"/>
      <c r="E285" s="643"/>
      <c r="F285" s="643"/>
      <c r="G285" s="645" t="s">
        <v>553</v>
      </c>
      <c r="H285" s="648"/>
      <c r="I285" s="645" t="s">
        <v>575</v>
      </c>
      <c r="J285" s="648"/>
      <c r="K285" s="645" t="s">
        <v>554</v>
      </c>
      <c r="L285" s="648"/>
      <c r="M285" s="645" t="s">
        <v>554</v>
      </c>
      <c r="N285" s="648"/>
      <c r="O285" s="134"/>
      <c r="P285" s="134"/>
      <c r="Q285" s="134"/>
      <c r="R285" s="134"/>
    </row>
    <row r="286" spans="1:254" ht="16.5" thickBot="1">
      <c r="A286" s="463" t="s">
        <v>510</v>
      </c>
      <c r="B286" s="644"/>
      <c r="C286" s="644"/>
      <c r="D286" s="644"/>
      <c r="E286" s="644"/>
      <c r="F286" s="644"/>
      <c r="G286" s="118" t="s">
        <v>38</v>
      </c>
      <c r="H286" s="118" t="s">
        <v>39</v>
      </c>
      <c r="I286" s="118" t="s">
        <v>38</v>
      </c>
      <c r="J286" s="118" t="s">
        <v>39</v>
      </c>
      <c r="K286" s="118" t="s">
        <v>38</v>
      </c>
      <c r="L286" s="118" t="s">
        <v>39</v>
      </c>
      <c r="M286" s="118" t="s">
        <v>38</v>
      </c>
      <c r="N286" s="118" t="s">
        <v>39</v>
      </c>
      <c r="O286" s="134"/>
      <c r="P286" s="134"/>
      <c r="Q286" s="134"/>
      <c r="R286" s="134"/>
    </row>
    <row r="287" spans="1:254">
      <c r="A287" s="463" t="s">
        <v>510</v>
      </c>
      <c r="B287" s="119" t="s">
        <v>115</v>
      </c>
      <c r="C287" s="120" t="s">
        <v>116</v>
      </c>
      <c r="D287" s="120" t="s">
        <v>117</v>
      </c>
      <c r="E287" s="120" t="s">
        <v>118</v>
      </c>
      <c r="F287" s="119" t="s">
        <v>119</v>
      </c>
      <c r="G287" s="121" t="s">
        <v>120</v>
      </c>
      <c r="H287" s="121" t="s">
        <v>121</v>
      </c>
      <c r="I287" s="122">
        <v>8</v>
      </c>
      <c r="J287" s="123">
        <v>9</v>
      </c>
      <c r="K287" s="124">
        <v>10</v>
      </c>
      <c r="L287" s="123">
        <v>11</v>
      </c>
      <c r="M287" s="124">
        <v>12</v>
      </c>
      <c r="N287" s="123">
        <v>13</v>
      </c>
      <c r="O287" s="125"/>
      <c r="P287" s="125"/>
      <c r="Q287" s="125"/>
      <c r="R287" s="125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99"/>
      <c r="BT287" s="99"/>
      <c r="BU287" s="99"/>
      <c r="BV287" s="99"/>
      <c r="BW287" s="99"/>
      <c r="BX287" s="99"/>
      <c r="BY287" s="99"/>
      <c r="BZ287" s="99"/>
      <c r="CA287" s="99"/>
      <c r="CB287" s="99"/>
      <c r="CC287" s="99"/>
      <c r="CD287" s="99"/>
      <c r="CE287" s="99"/>
      <c r="CF287" s="99"/>
      <c r="CG287" s="99"/>
      <c r="CH287" s="99"/>
      <c r="CI287" s="99"/>
      <c r="CJ287" s="99"/>
      <c r="CK287" s="99"/>
      <c r="CL287" s="99"/>
      <c r="CM287" s="99"/>
      <c r="CN287" s="99"/>
      <c r="CO287" s="99"/>
      <c r="CP287" s="99"/>
      <c r="CQ287" s="99"/>
      <c r="CR287" s="99"/>
      <c r="CS287" s="99"/>
      <c r="CT287" s="99"/>
      <c r="CU287" s="99"/>
      <c r="CV287" s="99"/>
      <c r="CW287" s="99"/>
      <c r="CX287" s="99"/>
      <c r="CY287" s="99"/>
      <c r="CZ287" s="99"/>
      <c r="DA287" s="99"/>
      <c r="DB287" s="99"/>
      <c r="DC287" s="99"/>
      <c r="DD287" s="99"/>
      <c r="DE287" s="99"/>
      <c r="DF287" s="99"/>
      <c r="DG287" s="99"/>
      <c r="DH287" s="99"/>
      <c r="DI287" s="99"/>
      <c r="DJ287" s="99"/>
      <c r="DK287" s="99"/>
      <c r="DL287" s="99"/>
      <c r="DM287" s="99"/>
      <c r="DN287" s="99"/>
      <c r="DO287" s="99"/>
      <c r="DP287" s="99"/>
      <c r="DQ287" s="99"/>
      <c r="DR287" s="99"/>
      <c r="DS287" s="99"/>
      <c r="DT287" s="99"/>
      <c r="DU287" s="99"/>
      <c r="DV287" s="99"/>
      <c r="DW287" s="99"/>
      <c r="DX287" s="99"/>
      <c r="DY287" s="99"/>
      <c r="DZ287" s="99"/>
      <c r="EA287" s="99"/>
      <c r="EB287" s="99"/>
      <c r="EC287" s="99"/>
      <c r="ED287" s="99"/>
      <c r="EE287" s="99"/>
      <c r="EF287" s="99"/>
      <c r="EG287" s="99"/>
      <c r="EH287" s="99"/>
      <c r="EI287" s="99"/>
      <c r="EJ287" s="99"/>
      <c r="EK287" s="99"/>
      <c r="EL287" s="99"/>
      <c r="EM287" s="99"/>
      <c r="EN287" s="99"/>
      <c r="EO287" s="99"/>
      <c r="EP287" s="99"/>
      <c r="EQ287" s="99"/>
      <c r="ER287" s="99"/>
      <c r="ES287" s="99"/>
      <c r="ET287" s="99"/>
      <c r="EU287" s="99"/>
      <c r="EV287" s="99"/>
      <c r="EW287" s="99"/>
      <c r="EX287" s="99"/>
      <c r="EY287" s="99"/>
      <c r="EZ287" s="99"/>
      <c r="FA287" s="99"/>
      <c r="FB287" s="99"/>
      <c r="FC287" s="99"/>
      <c r="FD287" s="99"/>
      <c r="FE287" s="99"/>
      <c r="FF287" s="99"/>
      <c r="FG287" s="99"/>
      <c r="FH287" s="99"/>
      <c r="FI287" s="99"/>
      <c r="FJ287" s="99"/>
      <c r="FK287" s="99"/>
      <c r="FL287" s="99"/>
      <c r="FM287" s="99"/>
      <c r="FN287" s="99"/>
      <c r="FO287" s="99"/>
      <c r="FP287" s="99"/>
      <c r="FQ287" s="99"/>
      <c r="FR287" s="99"/>
      <c r="FS287" s="99"/>
      <c r="FT287" s="99"/>
      <c r="FU287" s="99"/>
      <c r="FV287" s="99"/>
      <c r="FW287" s="99"/>
      <c r="FX287" s="99"/>
      <c r="FY287" s="99"/>
      <c r="FZ287" s="99"/>
      <c r="GA287" s="99"/>
      <c r="GB287" s="99"/>
      <c r="GC287" s="99"/>
      <c r="GD287" s="99"/>
      <c r="GE287" s="99"/>
      <c r="GF287" s="99"/>
      <c r="GG287" s="99"/>
      <c r="GH287" s="99"/>
      <c r="GI287" s="99"/>
      <c r="GJ287" s="99"/>
      <c r="GK287" s="99"/>
      <c r="GL287" s="99"/>
      <c r="GM287" s="99"/>
      <c r="GN287" s="99"/>
      <c r="GO287" s="99"/>
      <c r="GP287" s="99"/>
      <c r="GQ287" s="99"/>
      <c r="GR287" s="99"/>
      <c r="GS287" s="99"/>
      <c r="GT287" s="99"/>
      <c r="GU287" s="99"/>
      <c r="GV287" s="99"/>
      <c r="GW287" s="99"/>
      <c r="GX287" s="99"/>
      <c r="GY287" s="99"/>
      <c r="GZ287" s="99"/>
      <c r="HA287" s="99"/>
      <c r="HB287" s="99"/>
      <c r="HC287" s="99"/>
      <c r="HD287" s="99"/>
      <c r="HE287" s="99"/>
      <c r="HF287" s="99"/>
      <c r="HG287" s="99"/>
      <c r="HH287" s="99"/>
      <c r="HI287" s="99"/>
      <c r="HJ287" s="99"/>
      <c r="HK287" s="99"/>
      <c r="HL287" s="99"/>
      <c r="HM287" s="99"/>
      <c r="HN287" s="99"/>
      <c r="HO287" s="99"/>
      <c r="HP287" s="99"/>
      <c r="HQ287" s="99"/>
      <c r="HR287" s="99"/>
      <c r="HS287" s="99"/>
      <c r="HT287" s="99"/>
      <c r="HU287" s="99"/>
      <c r="HV287" s="99"/>
      <c r="HW287" s="99"/>
      <c r="HX287" s="99"/>
      <c r="HY287" s="99"/>
      <c r="HZ287" s="99"/>
      <c r="IA287" s="99"/>
      <c r="IB287" s="99"/>
      <c r="IC287" s="99"/>
      <c r="ID287" s="99"/>
      <c r="IE287" s="99"/>
      <c r="IF287" s="99"/>
      <c r="IG287" s="99"/>
      <c r="IH287" s="99"/>
      <c r="II287" s="99"/>
      <c r="IJ287" s="99"/>
    </row>
    <row r="288" spans="1:254" ht="110.25">
      <c r="B288" s="394" t="s">
        <v>487</v>
      </c>
      <c r="C288" s="521" t="s">
        <v>407</v>
      </c>
      <c r="D288" s="522" t="s">
        <v>570</v>
      </c>
      <c r="E288" s="523">
        <v>63.487000000000002</v>
      </c>
      <c r="F288" s="394"/>
      <c r="G288" s="397" t="s">
        <v>264</v>
      </c>
      <c r="H288" s="523">
        <v>63.487000000000002</v>
      </c>
      <c r="I288" s="397" t="s">
        <v>264</v>
      </c>
      <c r="J288" s="523">
        <v>63.487000000000002</v>
      </c>
      <c r="K288" s="523"/>
      <c r="L288" s="523"/>
      <c r="M288" s="523"/>
      <c r="N288" s="523"/>
      <c r="O288" s="148">
        <f>O277*41.6+P277*44.7+Q277*86.5+R277*63.9</f>
        <v>63.487136400000011</v>
      </c>
      <c r="P288" s="148"/>
      <c r="Q288" s="166"/>
      <c r="R288" s="379"/>
      <c r="IT288" s="112"/>
    </row>
    <row r="289" spans="1:254" ht="63">
      <c r="B289" s="394" t="s">
        <v>488</v>
      </c>
      <c r="C289" s="395" t="s">
        <v>545</v>
      </c>
      <c r="D289" s="394" t="s">
        <v>141</v>
      </c>
      <c r="E289" s="397">
        <v>1.0009999999999999</v>
      </c>
      <c r="F289" s="394"/>
      <c r="G289" s="397" t="s">
        <v>264</v>
      </c>
      <c r="H289" s="397">
        <v>1.0009999999999999</v>
      </c>
      <c r="I289" s="397" t="s">
        <v>264</v>
      </c>
      <c r="J289" s="397">
        <v>1.0009999999999999</v>
      </c>
      <c r="K289" s="397"/>
      <c r="L289" s="397"/>
      <c r="M289" s="397"/>
      <c r="N289" s="397"/>
      <c r="O289" s="148">
        <f>19.6*0.707*42/1000+16.18*0.707*6/1000+22.58*0.707*12/1000+0.003*3</f>
        <v>0.8512066800000001</v>
      </c>
      <c r="P289" s="148">
        <f>15.9*0.154*42/1000+13.43*0.154*6/1000+18.96*0.154*12/1000</f>
        <v>0.15028859999999999</v>
      </c>
      <c r="Q289" s="148">
        <f>P289+O289</f>
        <v>1.0014952800000001</v>
      </c>
      <c r="R289" s="379"/>
      <c r="IT289" s="112"/>
    </row>
    <row r="290" spans="1:254" ht="31.5">
      <c r="B290" s="390" t="s">
        <v>489</v>
      </c>
      <c r="C290" s="393" t="s">
        <v>406</v>
      </c>
      <c r="D290" s="385" t="s">
        <v>141</v>
      </c>
      <c r="E290" s="397">
        <v>1.0009999999999999</v>
      </c>
      <c r="F290" s="390"/>
      <c r="G290" s="391" t="s">
        <v>264</v>
      </c>
      <c r="H290" s="397">
        <v>1.0009999999999999</v>
      </c>
      <c r="I290" s="391" t="s">
        <v>264</v>
      </c>
      <c r="J290" s="397">
        <v>1.0009999999999999</v>
      </c>
      <c r="K290" s="397"/>
      <c r="L290" s="397"/>
      <c r="M290" s="397"/>
      <c r="N290" s="397"/>
      <c r="O290" s="148">
        <f>K289</f>
        <v>0</v>
      </c>
      <c r="P290" s="166"/>
      <c r="Q290" s="379"/>
      <c r="R290" s="144"/>
      <c r="IT290" s="112"/>
    </row>
    <row r="291" spans="1:254" ht="31.5">
      <c r="B291" s="390"/>
      <c r="C291" s="503" t="s">
        <v>431</v>
      </c>
      <c r="D291" s="503"/>
      <c r="E291" s="503"/>
      <c r="F291" s="503"/>
      <c r="G291" s="503"/>
      <c r="H291" s="503"/>
      <c r="I291" s="503"/>
      <c r="J291" s="503"/>
      <c r="K291" s="503"/>
      <c r="L291" s="503"/>
      <c r="M291" s="503"/>
      <c r="N291" s="503"/>
      <c r="O291" s="380"/>
      <c r="P291" s="148"/>
      <c r="Q291" s="166"/>
      <c r="R291" s="99"/>
      <c r="IT291" s="112"/>
    </row>
    <row r="292" spans="1:254" ht="31.5">
      <c r="B292" s="394" t="s">
        <v>490</v>
      </c>
      <c r="C292" s="395" t="s">
        <v>432</v>
      </c>
      <c r="D292" s="518" t="s">
        <v>232</v>
      </c>
      <c r="E292" s="396">
        <v>10</v>
      </c>
      <c r="F292" s="518"/>
      <c r="G292" s="397" t="s">
        <v>264</v>
      </c>
      <c r="H292" s="396">
        <v>10</v>
      </c>
      <c r="I292" s="397" t="s">
        <v>264</v>
      </c>
      <c r="J292" s="396">
        <v>10</v>
      </c>
      <c r="K292" s="396"/>
      <c r="L292" s="396"/>
      <c r="M292" s="396"/>
      <c r="N292" s="396"/>
      <c r="O292" s="380"/>
      <c r="P292" s="148"/>
      <c r="Q292" s="166"/>
      <c r="R292" s="99"/>
      <c r="IT292" s="112"/>
    </row>
    <row r="293" spans="1:254" ht="34.5">
      <c r="B293" s="390" t="s">
        <v>491</v>
      </c>
      <c r="C293" s="393" t="s">
        <v>446</v>
      </c>
      <c r="D293" s="386" t="s">
        <v>444</v>
      </c>
      <c r="E293" s="385" t="s">
        <v>435</v>
      </c>
      <c r="F293" s="386"/>
      <c r="G293" s="387" t="s">
        <v>557</v>
      </c>
      <c r="H293" s="385" t="s">
        <v>435</v>
      </c>
      <c r="I293" s="387" t="s">
        <v>557</v>
      </c>
      <c r="J293" s="385" t="s">
        <v>435</v>
      </c>
      <c r="K293" s="385"/>
      <c r="L293" s="385"/>
      <c r="M293" s="252"/>
      <c r="N293" s="385"/>
      <c r="O293" s="148">
        <f>4</f>
        <v>4</v>
      </c>
      <c r="P293" s="148">
        <f>O293*100/1000</f>
        <v>0.4</v>
      </c>
      <c r="Q293" s="166"/>
      <c r="R293" s="99"/>
      <c r="IT293" s="112"/>
    </row>
    <row r="294" spans="1:254">
      <c r="B294" s="390" t="s">
        <v>492</v>
      </c>
      <c r="C294" s="443" t="s">
        <v>395</v>
      </c>
      <c r="D294" s="444"/>
      <c r="E294" s="418"/>
      <c r="F294" s="445"/>
      <c r="G294" s="446"/>
      <c r="H294" s="418"/>
      <c r="I294" s="446"/>
      <c r="J294" s="418"/>
      <c r="K294" s="446"/>
      <c r="L294" s="418"/>
      <c r="M294" s="446"/>
      <c r="N294" s="418"/>
    </row>
    <row r="295" spans="1:254" ht="31.5">
      <c r="B295" s="390" t="s">
        <v>493</v>
      </c>
      <c r="C295" s="447" t="s">
        <v>546</v>
      </c>
      <c r="D295" s="448" t="s">
        <v>397</v>
      </c>
      <c r="E295" s="414">
        <v>1.4</v>
      </c>
      <c r="F295" s="415"/>
      <c r="G295" s="414" t="s">
        <v>264</v>
      </c>
      <c r="H295" s="414">
        <v>1.4</v>
      </c>
      <c r="I295" s="414" t="s">
        <v>264</v>
      </c>
      <c r="J295" s="414">
        <v>1.4</v>
      </c>
      <c r="K295" s="414"/>
      <c r="L295" s="414"/>
      <c r="M295" s="414"/>
      <c r="N295" s="414"/>
    </row>
    <row r="296" spans="1:254" ht="16.5" thickBot="1">
      <c r="B296" s="390" t="s">
        <v>494</v>
      </c>
      <c r="C296" s="449" t="s">
        <v>399</v>
      </c>
      <c r="D296" s="444" t="s">
        <v>400</v>
      </c>
      <c r="E296" s="418">
        <v>14</v>
      </c>
      <c r="F296" s="445"/>
      <c r="G296" s="418" t="s">
        <v>264</v>
      </c>
      <c r="H296" s="418">
        <v>14</v>
      </c>
      <c r="I296" s="418" t="s">
        <v>264</v>
      </c>
      <c r="J296" s="418">
        <v>14</v>
      </c>
      <c r="K296" s="418"/>
      <c r="L296" s="418"/>
      <c r="M296" s="418"/>
      <c r="N296" s="418"/>
      <c r="IT296" s="112"/>
    </row>
    <row r="297" spans="1:254" ht="32.25" thickBot="1">
      <c r="B297" s="451" t="s">
        <v>512</v>
      </c>
      <c r="C297" s="452" t="s">
        <v>498</v>
      </c>
      <c r="D297" s="451"/>
      <c r="E297" s="453"/>
      <c r="F297" s="454"/>
      <c r="G297" s="454"/>
      <c r="H297" s="453"/>
      <c r="I297" s="454"/>
      <c r="J297" s="453"/>
      <c r="K297" s="454"/>
      <c r="L297" s="453"/>
      <c r="M297" s="454"/>
      <c r="N297" s="453"/>
    </row>
    <row r="298" spans="1:254" ht="18.75">
      <c r="B298" s="450" t="s">
        <v>495</v>
      </c>
      <c r="C298" s="455" t="s">
        <v>234</v>
      </c>
      <c r="D298" s="456" t="s">
        <v>569</v>
      </c>
      <c r="E298" s="457">
        <v>0.06</v>
      </c>
      <c r="F298" s="450"/>
      <c r="G298" s="458" t="s">
        <v>264</v>
      </c>
      <c r="H298" s="457">
        <v>0.06</v>
      </c>
      <c r="I298" s="458" t="s">
        <v>264</v>
      </c>
      <c r="J298" s="457">
        <v>0.06</v>
      </c>
      <c r="K298" s="458"/>
      <c r="L298" s="457"/>
      <c r="M298" s="458"/>
      <c r="N298" s="457"/>
      <c r="IT298" s="112"/>
    </row>
    <row r="299" spans="1:254" ht="31.5">
      <c r="B299" s="394" t="s">
        <v>496</v>
      </c>
      <c r="C299" s="459" t="s">
        <v>499</v>
      </c>
      <c r="D299" s="402" t="s">
        <v>569</v>
      </c>
      <c r="E299" s="460">
        <v>0.18</v>
      </c>
      <c r="F299" s="461"/>
      <c r="G299" s="434" t="s">
        <v>264</v>
      </c>
      <c r="H299" s="460">
        <v>0.18</v>
      </c>
      <c r="I299" s="434" t="s">
        <v>264</v>
      </c>
      <c r="J299" s="460">
        <v>0.18</v>
      </c>
      <c r="K299" s="434"/>
      <c r="L299" s="460"/>
      <c r="M299" s="434"/>
      <c r="N299" s="460"/>
    </row>
    <row r="300" spans="1:254" ht="63">
      <c r="B300" s="383" t="s">
        <v>497</v>
      </c>
      <c r="C300" s="542" t="s">
        <v>506</v>
      </c>
      <c r="D300" s="543" t="s">
        <v>165</v>
      </c>
      <c r="E300" s="544" t="s">
        <v>500</v>
      </c>
      <c r="F300" s="545"/>
      <c r="G300" s="598" t="s">
        <v>557</v>
      </c>
      <c r="H300" s="544" t="s">
        <v>500</v>
      </c>
      <c r="I300" s="598" t="s">
        <v>557</v>
      </c>
      <c r="J300" s="544" t="s">
        <v>500</v>
      </c>
      <c r="K300" s="544"/>
      <c r="L300" s="544"/>
      <c r="M300" s="566"/>
      <c r="N300" s="544"/>
      <c r="O300" s="1">
        <f>15.44/1000</f>
        <v>1.5439999999999999E-2</v>
      </c>
    </row>
    <row r="301" spans="1:254" ht="31.5">
      <c r="B301" s="390" t="s">
        <v>508</v>
      </c>
      <c r="C301" s="442" t="s">
        <v>393</v>
      </c>
      <c r="D301" s="385" t="s">
        <v>570</v>
      </c>
      <c r="E301" s="418">
        <v>0.92</v>
      </c>
      <c r="F301" s="445"/>
      <c r="G301" s="425" t="s">
        <v>264</v>
      </c>
      <c r="H301" s="418">
        <v>0.92</v>
      </c>
      <c r="I301" s="425" t="s">
        <v>264</v>
      </c>
      <c r="J301" s="418">
        <v>0.92</v>
      </c>
      <c r="K301" s="418"/>
      <c r="L301" s="418"/>
      <c r="M301" s="418"/>
      <c r="N301" s="418"/>
      <c r="O301" s="1">
        <f>0.6*0.6*0.5*4+0.1*0.6*2+0.4*0.1*2</f>
        <v>0.91999999999999993</v>
      </c>
      <c r="IT301" s="112"/>
    </row>
    <row r="302" spans="1:254" ht="203.25" customHeight="1" thickBot="1">
      <c r="A302" s="463" t="s">
        <v>510</v>
      </c>
      <c r="B302" s="509"/>
      <c r="C302" s="628"/>
      <c r="D302" s="512"/>
      <c r="E302" s="505"/>
      <c r="F302" s="629"/>
      <c r="G302" s="630"/>
      <c r="H302" s="505"/>
      <c r="I302" s="630"/>
      <c r="J302" s="505"/>
      <c r="K302" s="505"/>
      <c r="L302" s="505"/>
      <c r="M302" s="505"/>
      <c r="N302" s="568"/>
      <c r="IT302" s="112"/>
    </row>
    <row r="303" spans="1:254" ht="30" customHeight="1" thickBot="1">
      <c r="A303" s="463" t="s">
        <v>510</v>
      </c>
      <c r="B303" s="499"/>
      <c r="C303" s="631"/>
      <c r="D303" s="516"/>
      <c r="E303" s="501"/>
      <c r="F303" s="632"/>
      <c r="G303" s="633"/>
      <c r="H303" s="501"/>
      <c r="I303" s="633"/>
      <c r="J303" s="501"/>
      <c r="K303" s="501"/>
      <c r="L303" s="501"/>
      <c r="M303" s="501"/>
      <c r="N303" s="501"/>
      <c r="IT303" s="112"/>
    </row>
    <row r="304" spans="1:254" ht="36" customHeight="1" thickBot="1">
      <c r="A304" s="463" t="s">
        <v>510</v>
      </c>
      <c r="B304" s="642" t="s">
        <v>35</v>
      </c>
      <c r="C304" s="642" t="s">
        <v>36</v>
      </c>
      <c r="D304" s="642" t="s">
        <v>37</v>
      </c>
      <c r="E304" s="642" t="s">
        <v>92</v>
      </c>
      <c r="F304" s="642" t="s">
        <v>18</v>
      </c>
      <c r="G304" s="645" t="s">
        <v>100</v>
      </c>
      <c r="H304" s="646"/>
      <c r="I304" s="646"/>
      <c r="J304" s="646"/>
      <c r="K304" s="646"/>
      <c r="L304" s="646"/>
      <c r="M304" s="646"/>
      <c r="N304" s="647"/>
      <c r="O304" s="134"/>
      <c r="P304" s="134"/>
      <c r="Q304" s="134"/>
      <c r="R304" s="134"/>
    </row>
    <row r="305" spans="1:254" ht="15.75" customHeight="1" thickBot="1">
      <c r="A305" s="463" t="s">
        <v>510</v>
      </c>
      <c r="B305" s="643"/>
      <c r="C305" s="643"/>
      <c r="D305" s="643"/>
      <c r="E305" s="643"/>
      <c r="F305" s="643"/>
      <c r="G305" s="645" t="s">
        <v>553</v>
      </c>
      <c r="H305" s="648"/>
      <c r="I305" s="645" t="s">
        <v>575</v>
      </c>
      <c r="J305" s="648"/>
      <c r="K305" s="645" t="s">
        <v>554</v>
      </c>
      <c r="L305" s="648"/>
      <c r="M305" s="645" t="s">
        <v>554</v>
      </c>
      <c r="N305" s="648"/>
      <c r="O305" s="134"/>
      <c r="P305" s="134"/>
      <c r="Q305" s="134"/>
      <c r="R305" s="134"/>
    </row>
    <row r="306" spans="1:254" ht="16.5" thickBot="1">
      <c r="A306" s="463" t="s">
        <v>510</v>
      </c>
      <c r="B306" s="644"/>
      <c r="C306" s="644"/>
      <c r="D306" s="644"/>
      <c r="E306" s="644"/>
      <c r="F306" s="644"/>
      <c r="G306" s="118" t="s">
        <v>38</v>
      </c>
      <c r="H306" s="118" t="s">
        <v>39</v>
      </c>
      <c r="I306" s="118" t="s">
        <v>38</v>
      </c>
      <c r="J306" s="118" t="s">
        <v>39</v>
      </c>
      <c r="K306" s="118" t="s">
        <v>38</v>
      </c>
      <c r="L306" s="118" t="s">
        <v>39</v>
      </c>
      <c r="M306" s="118" t="s">
        <v>38</v>
      </c>
      <c r="N306" s="118" t="s">
        <v>39</v>
      </c>
      <c r="O306" s="134"/>
      <c r="P306" s="134"/>
      <c r="Q306" s="134"/>
      <c r="R306" s="134"/>
    </row>
    <row r="307" spans="1:254">
      <c r="A307" s="463" t="s">
        <v>510</v>
      </c>
      <c r="B307" s="119" t="s">
        <v>115</v>
      </c>
      <c r="C307" s="120" t="s">
        <v>116</v>
      </c>
      <c r="D307" s="120" t="s">
        <v>117</v>
      </c>
      <c r="E307" s="120" t="s">
        <v>118</v>
      </c>
      <c r="F307" s="119" t="s">
        <v>119</v>
      </c>
      <c r="G307" s="121" t="s">
        <v>120</v>
      </c>
      <c r="H307" s="121" t="s">
        <v>121</v>
      </c>
      <c r="I307" s="122">
        <v>8</v>
      </c>
      <c r="J307" s="123">
        <v>9</v>
      </c>
      <c r="K307" s="124">
        <v>10</v>
      </c>
      <c r="L307" s="123">
        <v>11</v>
      </c>
      <c r="M307" s="124">
        <v>12</v>
      </c>
      <c r="N307" s="123">
        <v>13</v>
      </c>
      <c r="O307" s="125"/>
      <c r="P307" s="125"/>
      <c r="Q307" s="125"/>
      <c r="R307" s="125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  <c r="AY307" s="99"/>
      <c r="AZ307" s="99"/>
      <c r="BA307" s="99"/>
      <c r="BB307" s="99"/>
      <c r="BC307" s="99"/>
      <c r="BD307" s="99"/>
      <c r="BE307" s="99"/>
      <c r="BF307" s="99"/>
      <c r="BG307" s="99"/>
      <c r="BH307" s="99"/>
      <c r="BI307" s="99"/>
      <c r="BJ307" s="99"/>
      <c r="BK307" s="99"/>
      <c r="BL307" s="99"/>
      <c r="BM307" s="99"/>
      <c r="BN307" s="99"/>
      <c r="BO307" s="99"/>
      <c r="BP307" s="99"/>
      <c r="BQ307" s="99"/>
      <c r="BR307" s="99"/>
      <c r="BS307" s="99"/>
      <c r="BT307" s="99"/>
      <c r="BU307" s="99"/>
      <c r="BV307" s="99"/>
      <c r="BW307" s="99"/>
      <c r="BX307" s="99"/>
      <c r="BY307" s="99"/>
      <c r="BZ307" s="99"/>
      <c r="CA307" s="99"/>
      <c r="CB307" s="99"/>
      <c r="CC307" s="99"/>
      <c r="CD307" s="99"/>
      <c r="CE307" s="99"/>
      <c r="CF307" s="99"/>
      <c r="CG307" s="99"/>
      <c r="CH307" s="99"/>
      <c r="CI307" s="99"/>
      <c r="CJ307" s="99"/>
      <c r="CK307" s="99"/>
      <c r="CL307" s="99"/>
      <c r="CM307" s="99"/>
      <c r="CN307" s="99"/>
      <c r="CO307" s="99"/>
      <c r="CP307" s="99"/>
      <c r="CQ307" s="99"/>
      <c r="CR307" s="99"/>
      <c r="CS307" s="99"/>
      <c r="CT307" s="99"/>
      <c r="CU307" s="99"/>
      <c r="CV307" s="99"/>
      <c r="CW307" s="99"/>
      <c r="CX307" s="99"/>
      <c r="CY307" s="99"/>
      <c r="CZ307" s="99"/>
      <c r="DA307" s="99"/>
      <c r="DB307" s="99"/>
      <c r="DC307" s="99"/>
      <c r="DD307" s="99"/>
      <c r="DE307" s="99"/>
      <c r="DF307" s="99"/>
      <c r="DG307" s="99"/>
      <c r="DH307" s="99"/>
      <c r="DI307" s="99"/>
      <c r="DJ307" s="99"/>
      <c r="DK307" s="99"/>
      <c r="DL307" s="99"/>
      <c r="DM307" s="99"/>
      <c r="DN307" s="99"/>
      <c r="DO307" s="99"/>
      <c r="DP307" s="99"/>
      <c r="DQ307" s="99"/>
      <c r="DR307" s="99"/>
      <c r="DS307" s="99"/>
      <c r="DT307" s="99"/>
      <c r="DU307" s="99"/>
      <c r="DV307" s="99"/>
      <c r="DW307" s="99"/>
      <c r="DX307" s="99"/>
      <c r="DY307" s="99"/>
      <c r="DZ307" s="99"/>
      <c r="EA307" s="99"/>
      <c r="EB307" s="99"/>
      <c r="EC307" s="99"/>
      <c r="ED307" s="99"/>
      <c r="EE307" s="99"/>
      <c r="EF307" s="99"/>
      <c r="EG307" s="99"/>
      <c r="EH307" s="99"/>
      <c r="EI307" s="99"/>
      <c r="EJ307" s="99"/>
      <c r="EK307" s="99"/>
      <c r="EL307" s="99"/>
      <c r="EM307" s="99"/>
      <c r="EN307" s="99"/>
      <c r="EO307" s="99"/>
      <c r="EP307" s="99"/>
      <c r="EQ307" s="99"/>
      <c r="ER307" s="99"/>
      <c r="ES307" s="99"/>
      <c r="ET307" s="99"/>
      <c r="EU307" s="99"/>
      <c r="EV307" s="99"/>
      <c r="EW307" s="99"/>
      <c r="EX307" s="99"/>
      <c r="EY307" s="99"/>
      <c r="EZ307" s="99"/>
      <c r="FA307" s="99"/>
      <c r="FB307" s="99"/>
      <c r="FC307" s="99"/>
      <c r="FD307" s="99"/>
      <c r="FE307" s="99"/>
      <c r="FF307" s="99"/>
      <c r="FG307" s="99"/>
      <c r="FH307" s="99"/>
      <c r="FI307" s="99"/>
      <c r="FJ307" s="99"/>
      <c r="FK307" s="99"/>
      <c r="FL307" s="99"/>
      <c r="FM307" s="99"/>
      <c r="FN307" s="99"/>
      <c r="FO307" s="99"/>
      <c r="FP307" s="99"/>
      <c r="FQ307" s="99"/>
      <c r="FR307" s="99"/>
      <c r="FS307" s="99"/>
      <c r="FT307" s="99"/>
      <c r="FU307" s="99"/>
      <c r="FV307" s="99"/>
      <c r="FW307" s="99"/>
      <c r="FX307" s="99"/>
      <c r="FY307" s="99"/>
      <c r="FZ307" s="99"/>
      <c r="GA307" s="99"/>
      <c r="GB307" s="99"/>
      <c r="GC307" s="99"/>
      <c r="GD307" s="99"/>
      <c r="GE307" s="99"/>
      <c r="GF307" s="99"/>
      <c r="GG307" s="99"/>
      <c r="GH307" s="99"/>
      <c r="GI307" s="99"/>
      <c r="GJ307" s="99"/>
      <c r="GK307" s="99"/>
      <c r="GL307" s="99"/>
      <c r="GM307" s="99"/>
      <c r="GN307" s="99"/>
      <c r="GO307" s="99"/>
      <c r="GP307" s="99"/>
      <c r="GQ307" s="99"/>
      <c r="GR307" s="99"/>
      <c r="GS307" s="99"/>
      <c r="GT307" s="99"/>
      <c r="GU307" s="99"/>
      <c r="GV307" s="99"/>
      <c r="GW307" s="99"/>
      <c r="GX307" s="99"/>
      <c r="GY307" s="99"/>
      <c r="GZ307" s="99"/>
      <c r="HA307" s="99"/>
      <c r="HB307" s="99"/>
      <c r="HC307" s="99"/>
      <c r="HD307" s="99"/>
      <c r="HE307" s="99"/>
      <c r="HF307" s="99"/>
      <c r="HG307" s="99"/>
      <c r="HH307" s="99"/>
      <c r="HI307" s="99"/>
      <c r="HJ307" s="99"/>
      <c r="HK307" s="99"/>
      <c r="HL307" s="99"/>
      <c r="HM307" s="99"/>
      <c r="HN307" s="99"/>
      <c r="HO307" s="99"/>
      <c r="HP307" s="99"/>
      <c r="HQ307" s="99"/>
      <c r="HR307" s="99"/>
      <c r="HS307" s="99"/>
      <c r="HT307" s="99"/>
      <c r="HU307" s="99"/>
      <c r="HV307" s="99"/>
      <c r="HW307" s="99"/>
      <c r="HX307" s="99"/>
      <c r="HY307" s="99"/>
      <c r="HZ307" s="99"/>
      <c r="IA307" s="99"/>
      <c r="IB307" s="99"/>
      <c r="IC307" s="99"/>
      <c r="ID307" s="99"/>
      <c r="IE307" s="99"/>
      <c r="IF307" s="99"/>
      <c r="IG307" s="99"/>
      <c r="IH307" s="99"/>
      <c r="II307" s="99"/>
      <c r="IJ307" s="99"/>
    </row>
    <row r="308" spans="1:254" ht="111" thickBot="1">
      <c r="B308" s="394" t="s">
        <v>524</v>
      </c>
      <c r="C308" s="521" t="s">
        <v>407</v>
      </c>
      <c r="D308" s="522" t="s">
        <v>570</v>
      </c>
      <c r="E308" s="523">
        <v>0.16</v>
      </c>
      <c r="F308" s="394"/>
      <c r="G308" s="397" t="s">
        <v>264</v>
      </c>
      <c r="H308" s="523">
        <v>0.16</v>
      </c>
      <c r="I308" s="397" t="s">
        <v>264</v>
      </c>
      <c r="J308" s="523">
        <v>0.16</v>
      </c>
      <c r="K308" s="523"/>
      <c r="L308" s="523"/>
      <c r="M308" s="523"/>
      <c r="N308" s="523"/>
      <c r="O308" s="148">
        <f>0.4*0.4</f>
        <v>0.16000000000000003</v>
      </c>
    </row>
    <row r="309" spans="1:254" ht="32.25" thickBot="1">
      <c r="B309" s="451" t="s">
        <v>513</v>
      </c>
      <c r="C309" s="452" t="s">
        <v>501</v>
      </c>
      <c r="D309" s="451"/>
      <c r="E309" s="453"/>
      <c r="F309" s="454"/>
      <c r="G309" s="454"/>
      <c r="H309" s="453"/>
      <c r="I309" s="454"/>
      <c r="J309" s="453"/>
      <c r="K309" s="454"/>
      <c r="L309" s="453"/>
      <c r="M309" s="454"/>
      <c r="N309" s="453"/>
    </row>
    <row r="310" spans="1:254" ht="18.75">
      <c r="B310" s="450" t="s">
        <v>502</v>
      </c>
      <c r="C310" s="455" t="s">
        <v>234</v>
      </c>
      <c r="D310" s="456" t="s">
        <v>569</v>
      </c>
      <c r="E310" s="457">
        <v>0.06</v>
      </c>
      <c r="F310" s="450"/>
      <c r="G310" s="458" t="s">
        <v>264</v>
      </c>
      <c r="H310" s="457">
        <v>0.06</v>
      </c>
      <c r="I310" s="458" t="s">
        <v>264</v>
      </c>
      <c r="J310" s="457">
        <v>0.06</v>
      </c>
      <c r="K310" s="458"/>
      <c r="L310" s="457"/>
      <c r="M310" s="458"/>
      <c r="N310" s="457"/>
      <c r="IT310" s="112"/>
    </row>
    <row r="311" spans="1:254" ht="31.5">
      <c r="B311" s="394" t="s">
        <v>503</v>
      </c>
      <c r="C311" s="459" t="s">
        <v>499</v>
      </c>
      <c r="D311" s="402" t="s">
        <v>569</v>
      </c>
      <c r="E311" s="460">
        <v>0.18</v>
      </c>
      <c r="F311" s="461"/>
      <c r="G311" s="434" t="s">
        <v>264</v>
      </c>
      <c r="H311" s="460">
        <v>0.18</v>
      </c>
      <c r="I311" s="434" t="s">
        <v>264</v>
      </c>
      <c r="J311" s="460">
        <v>0.18</v>
      </c>
      <c r="K311" s="434"/>
      <c r="L311" s="460"/>
      <c r="M311" s="434"/>
      <c r="N311" s="460"/>
      <c r="IT311" s="112"/>
    </row>
    <row r="312" spans="1:254" ht="63">
      <c r="B312" s="394" t="s">
        <v>504</v>
      </c>
      <c r="C312" s="462" t="s">
        <v>505</v>
      </c>
      <c r="D312" s="402" t="s">
        <v>165</v>
      </c>
      <c r="E312" s="460" t="s">
        <v>507</v>
      </c>
      <c r="F312" s="461"/>
      <c r="G312" s="599" t="s">
        <v>557</v>
      </c>
      <c r="H312" s="460" t="s">
        <v>507</v>
      </c>
      <c r="I312" s="599" t="s">
        <v>557</v>
      </c>
      <c r="J312" s="460" t="s">
        <v>507</v>
      </c>
      <c r="K312" s="460"/>
      <c r="L312" s="460"/>
      <c r="M312" s="252"/>
      <c r="N312" s="460"/>
      <c r="O312" s="1">
        <f>18.58/1000</f>
        <v>1.8579999999999999E-2</v>
      </c>
    </row>
    <row r="313" spans="1:254" ht="31.5">
      <c r="B313" s="394" t="s">
        <v>509</v>
      </c>
      <c r="C313" s="442" t="s">
        <v>393</v>
      </c>
      <c r="D313" s="385" t="s">
        <v>570</v>
      </c>
      <c r="E313" s="418">
        <v>0.88</v>
      </c>
      <c r="F313" s="445"/>
      <c r="G313" s="425" t="s">
        <v>264</v>
      </c>
      <c r="H313" s="418">
        <v>0.88</v>
      </c>
      <c r="I313" s="425" t="s">
        <v>264</v>
      </c>
      <c r="J313" s="418">
        <v>0.88</v>
      </c>
      <c r="K313" s="418"/>
      <c r="L313" s="418"/>
      <c r="M313" s="418"/>
      <c r="N313" s="418"/>
      <c r="O313" s="1">
        <f>0.6*0.6*0.5*4+0.05*0.6*2+0.5*0.1*2</f>
        <v>0.88</v>
      </c>
    </row>
    <row r="314" spans="1:254" ht="111" thickBot="1">
      <c r="B314" s="394" t="s">
        <v>523</v>
      </c>
      <c r="C314" s="521" t="s">
        <v>407</v>
      </c>
      <c r="D314" s="522" t="s">
        <v>570</v>
      </c>
      <c r="E314" s="523">
        <v>0.2</v>
      </c>
      <c r="F314" s="394"/>
      <c r="G314" s="397" t="s">
        <v>264</v>
      </c>
      <c r="H314" s="523">
        <v>0.2</v>
      </c>
      <c r="I314" s="397" t="s">
        <v>264</v>
      </c>
      <c r="J314" s="523">
        <v>0.2</v>
      </c>
      <c r="K314" s="523"/>
      <c r="L314" s="523"/>
      <c r="M314" s="523"/>
      <c r="N314" s="523"/>
      <c r="O314" s="148">
        <f>0.4*0.5</f>
        <v>0.2</v>
      </c>
    </row>
    <row r="315" spans="1:254" s="552" customFormat="1" ht="16.5" thickBot="1">
      <c r="A315" s="117"/>
      <c r="B315" s="546"/>
      <c r="C315" s="547" t="s">
        <v>533</v>
      </c>
      <c r="D315" s="546"/>
      <c r="E315" s="551"/>
      <c r="F315" s="548"/>
      <c r="G315" s="549"/>
      <c r="H315" s="551"/>
      <c r="I315" s="549"/>
      <c r="J315" s="551"/>
      <c r="K315" s="550"/>
      <c r="L315" s="551"/>
      <c r="M315" s="550"/>
      <c r="N315" s="551"/>
      <c r="O315" s="148"/>
      <c r="P315" s="99"/>
      <c r="Q315" s="99"/>
      <c r="R315" s="99"/>
      <c r="S315" s="142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  <c r="AR315" s="142"/>
      <c r="AS315" s="142"/>
      <c r="AT315" s="142"/>
      <c r="AU315" s="142"/>
      <c r="AV315" s="142"/>
      <c r="AW315" s="142"/>
      <c r="AX315" s="142"/>
      <c r="AY315" s="142"/>
      <c r="AZ315" s="142"/>
      <c r="BA315" s="142"/>
      <c r="BB315" s="142"/>
      <c r="BC315" s="142"/>
      <c r="BD315" s="142"/>
      <c r="BE315" s="142"/>
      <c r="BF315" s="142"/>
      <c r="BG315" s="142"/>
      <c r="BH315" s="142"/>
      <c r="BI315" s="142"/>
      <c r="BJ315" s="142"/>
      <c r="BK315" s="142"/>
      <c r="BL315" s="142"/>
      <c r="BM315" s="142"/>
      <c r="BN315" s="142"/>
      <c r="BO315" s="142"/>
      <c r="BP315" s="142"/>
      <c r="BQ315" s="142"/>
      <c r="BR315" s="142"/>
      <c r="BS315" s="142"/>
      <c r="BT315" s="142"/>
      <c r="BU315" s="142"/>
      <c r="BV315" s="142"/>
      <c r="BW315" s="142"/>
      <c r="BX315" s="142"/>
      <c r="BY315" s="142"/>
      <c r="BZ315" s="142"/>
      <c r="CA315" s="142"/>
      <c r="CB315" s="142"/>
      <c r="CC315" s="142"/>
      <c r="CD315" s="142"/>
      <c r="CE315" s="142"/>
      <c r="CF315" s="142"/>
      <c r="CG315" s="142"/>
      <c r="CH315" s="142"/>
      <c r="CI315" s="142"/>
      <c r="CJ315" s="142"/>
      <c r="CK315" s="142"/>
      <c r="CL315" s="142"/>
      <c r="CM315" s="142"/>
      <c r="CN315" s="142"/>
      <c r="CO315" s="142"/>
      <c r="CP315" s="142"/>
      <c r="CQ315" s="142"/>
      <c r="CR315" s="142"/>
      <c r="CS315" s="142"/>
      <c r="CT315" s="142"/>
      <c r="CU315" s="142"/>
      <c r="CV315" s="142"/>
      <c r="CW315" s="142"/>
      <c r="CX315" s="142"/>
      <c r="CY315" s="142"/>
      <c r="CZ315" s="142"/>
      <c r="DA315" s="142"/>
      <c r="DB315" s="142"/>
      <c r="DC315" s="142"/>
      <c r="DD315" s="142"/>
      <c r="DE315" s="142"/>
      <c r="DF315" s="142"/>
      <c r="DG315" s="142"/>
      <c r="DH315" s="142"/>
      <c r="DI315" s="142"/>
      <c r="DJ315" s="142"/>
      <c r="DK315" s="142"/>
      <c r="DL315" s="142"/>
      <c r="DM315" s="142"/>
      <c r="DN315" s="142"/>
      <c r="DO315" s="142"/>
      <c r="DP315" s="142"/>
      <c r="DQ315" s="142"/>
      <c r="DR315" s="142"/>
      <c r="DS315" s="142"/>
      <c r="DT315" s="142"/>
      <c r="DU315" s="142"/>
      <c r="DV315" s="142"/>
      <c r="DW315" s="142"/>
      <c r="DX315" s="142"/>
      <c r="DY315" s="142"/>
      <c r="DZ315" s="142"/>
      <c r="EA315" s="142"/>
      <c r="EB315" s="142"/>
      <c r="EC315" s="142"/>
      <c r="ED315" s="142"/>
      <c r="EE315" s="142"/>
      <c r="EF315" s="142"/>
      <c r="EG315" s="142"/>
      <c r="EH315" s="142"/>
      <c r="EI315" s="142"/>
      <c r="EJ315" s="142"/>
      <c r="EK315" s="142"/>
      <c r="EL315" s="142"/>
      <c r="EM315" s="142"/>
      <c r="EN315" s="142"/>
      <c r="EO315" s="142"/>
      <c r="EP315" s="142"/>
      <c r="EQ315" s="142"/>
      <c r="ER315" s="142"/>
      <c r="ES315" s="142"/>
      <c r="ET315" s="142"/>
      <c r="EU315" s="142"/>
      <c r="EV315" s="142"/>
      <c r="EW315" s="142"/>
      <c r="EX315" s="142"/>
      <c r="EY315" s="142"/>
      <c r="EZ315" s="142"/>
      <c r="FA315" s="142"/>
      <c r="FB315" s="142"/>
      <c r="FC315" s="142"/>
      <c r="FD315" s="142"/>
      <c r="FE315" s="142"/>
      <c r="FF315" s="142"/>
      <c r="FG315" s="142"/>
      <c r="FH315" s="142"/>
      <c r="FI315" s="142"/>
      <c r="FJ315" s="142"/>
      <c r="FK315" s="142"/>
      <c r="FL315" s="142"/>
      <c r="FM315" s="142"/>
      <c r="FN315" s="142"/>
      <c r="FO315" s="142"/>
      <c r="FP315" s="142"/>
      <c r="FQ315" s="142"/>
      <c r="FR315" s="142"/>
      <c r="FS315" s="142"/>
      <c r="FT315" s="142"/>
      <c r="FU315" s="142"/>
      <c r="FV315" s="142"/>
      <c r="FW315" s="142"/>
      <c r="FX315" s="142"/>
      <c r="FY315" s="142"/>
      <c r="FZ315" s="142"/>
      <c r="GA315" s="142"/>
      <c r="GB315" s="142"/>
      <c r="GC315" s="142"/>
      <c r="GD315" s="142"/>
      <c r="GE315" s="142"/>
      <c r="GF315" s="142"/>
      <c r="GG315" s="142"/>
      <c r="GH315" s="142"/>
      <c r="GI315" s="142"/>
      <c r="GJ315" s="142"/>
      <c r="GK315" s="142"/>
      <c r="GL315" s="142"/>
      <c r="GM315" s="142"/>
      <c r="GN315" s="142"/>
      <c r="GO315" s="142"/>
      <c r="GP315" s="142"/>
      <c r="GQ315" s="142"/>
      <c r="GR315" s="142"/>
      <c r="GS315" s="142"/>
      <c r="GT315" s="142"/>
      <c r="GU315" s="142"/>
      <c r="GV315" s="142"/>
      <c r="GW315" s="142"/>
      <c r="GX315" s="142"/>
      <c r="GY315" s="142"/>
      <c r="GZ315" s="142"/>
      <c r="HA315" s="142"/>
      <c r="HB315" s="142"/>
      <c r="HC315" s="142"/>
      <c r="HD315" s="142"/>
      <c r="HE315" s="142"/>
      <c r="HF315" s="142"/>
      <c r="HG315" s="142"/>
      <c r="HH315" s="142"/>
      <c r="HI315" s="142"/>
      <c r="HJ315" s="142"/>
      <c r="HK315" s="142"/>
      <c r="HL315" s="142"/>
      <c r="HM315" s="142"/>
      <c r="HN315" s="142"/>
      <c r="HO315" s="142"/>
      <c r="HP315" s="142"/>
      <c r="HQ315" s="142"/>
      <c r="HR315" s="142"/>
      <c r="HS315" s="142"/>
      <c r="HT315" s="142"/>
      <c r="HU315" s="142"/>
      <c r="HV315" s="142"/>
      <c r="HW315" s="142"/>
      <c r="HX315" s="142"/>
      <c r="HY315" s="142"/>
      <c r="HZ315" s="142"/>
      <c r="IA315" s="142"/>
      <c r="IB315" s="142"/>
      <c r="IC315" s="142"/>
      <c r="ID315" s="142"/>
      <c r="IE315" s="142"/>
      <c r="IF315" s="142"/>
      <c r="IG315" s="142"/>
      <c r="IH315" s="142"/>
      <c r="II315" s="142"/>
      <c r="IJ315" s="142"/>
      <c r="IT315" s="553"/>
    </row>
    <row r="316" spans="1:254" s="552" customFormat="1" ht="16.5" thickBot="1">
      <c r="A316" s="117"/>
      <c r="B316" s="546"/>
      <c r="C316" s="547" t="s">
        <v>527</v>
      </c>
      <c r="D316" s="546"/>
      <c r="E316" s="551"/>
      <c r="F316" s="548"/>
      <c r="G316" s="549"/>
      <c r="H316" s="551"/>
      <c r="I316" s="549"/>
      <c r="J316" s="551"/>
      <c r="K316" s="550"/>
      <c r="L316" s="551"/>
      <c r="M316" s="550"/>
      <c r="N316" s="551"/>
      <c r="O316" s="148"/>
      <c r="P316" s="99"/>
      <c r="Q316" s="99"/>
      <c r="R316" s="99"/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  <c r="AW316" s="142"/>
      <c r="AX316" s="142"/>
      <c r="AY316" s="142"/>
      <c r="AZ316" s="142"/>
      <c r="BA316" s="142"/>
      <c r="BB316" s="142"/>
      <c r="BC316" s="142"/>
      <c r="BD316" s="142"/>
      <c r="BE316" s="142"/>
      <c r="BF316" s="142"/>
      <c r="BG316" s="142"/>
      <c r="BH316" s="142"/>
      <c r="BI316" s="142"/>
      <c r="BJ316" s="142"/>
      <c r="BK316" s="142"/>
      <c r="BL316" s="142"/>
      <c r="BM316" s="142"/>
      <c r="BN316" s="142"/>
      <c r="BO316" s="142"/>
      <c r="BP316" s="142"/>
      <c r="BQ316" s="142"/>
      <c r="BR316" s="142"/>
      <c r="BS316" s="142"/>
      <c r="BT316" s="142"/>
      <c r="BU316" s="142"/>
      <c r="BV316" s="142"/>
      <c r="BW316" s="142"/>
      <c r="BX316" s="142"/>
      <c r="BY316" s="142"/>
      <c r="BZ316" s="142"/>
      <c r="CA316" s="142"/>
      <c r="CB316" s="142"/>
      <c r="CC316" s="142"/>
      <c r="CD316" s="142"/>
      <c r="CE316" s="142"/>
      <c r="CF316" s="142"/>
      <c r="CG316" s="142"/>
      <c r="CH316" s="142"/>
      <c r="CI316" s="142"/>
      <c r="CJ316" s="142"/>
      <c r="CK316" s="142"/>
      <c r="CL316" s="142"/>
      <c r="CM316" s="142"/>
      <c r="CN316" s="142"/>
      <c r="CO316" s="142"/>
      <c r="CP316" s="142"/>
      <c r="CQ316" s="142"/>
      <c r="CR316" s="142"/>
      <c r="CS316" s="142"/>
      <c r="CT316" s="142"/>
      <c r="CU316" s="142"/>
      <c r="CV316" s="142"/>
      <c r="CW316" s="142"/>
      <c r="CX316" s="142"/>
      <c r="CY316" s="142"/>
      <c r="CZ316" s="142"/>
      <c r="DA316" s="142"/>
      <c r="DB316" s="142"/>
      <c r="DC316" s="142"/>
      <c r="DD316" s="142"/>
      <c r="DE316" s="142"/>
      <c r="DF316" s="142"/>
      <c r="DG316" s="142"/>
      <c r="DH316" s="142"/>
      <c r="DI316" s="142"/>
      <c r="DJ316" s="142"/>
      <c r="DK316" s="142"/>
      <c r="DL316" s="142"/>
      <c r="DM316" s="142"/>
      <c r="DN316" s="142"/>
      <c r="DO316" s="142"/>
      <c r="DP316" s="142"/>
      <c r="DQ316" s="142"/>
      <c r="DR316" s="142"/>
      <c r="DS316" s="142"/>
      <c r="DT316" s="142"/>
      <c r="DU316" s="142"/>
      <c r="DV316" s="142"/>
      <c r="DW316" s="142"/>
      <c r="DX316" s="142"/>
      <c r="DY316" s="142"/>
      <c r="DZ316" s="142"/>
      <c r="EA316" s="142"/>
      <c r="EB316" s="142"/>
      <c r="EC316" s="142"/>
      <c r="ED316" s="142"/>
      <c r="EE316" s="142"/>
      <c r="EF316" s="142"/>
      <c r="EG316" s="142"/>
      <c r="EH316" s="142"/>
      <c r="EI316" s="142"/>
      <c r="EJ316" s="142"/>
      <c r="EK316" s="142"/>
      <c r="EL316" s="142"/>
      <c r="EM316" s="142"/>
      <c r="EN316" s="142"/>
      <c r="EO316" s="142"/>
      <c r="EP316" s="142"/>
      <c r="EQ316" s="142"/>
      <c r="ER316" s="142"/>
      <c r="ES316" s="142"/>
      <c r="ET316" s="142"/>
      <c r="EU316" s="142"/>
      <c r="EV316" s="142"/>
      <c r="EW316" s="142"/>
      <c r="EX316" s="142"/>
      <c r="EY316" s="142"/>
      <c r="EZ316" s="142"/>
      <c r="FA316" s="142"/>
      <c r="FB316" s="142"/>
      <c r="FC316" s="142"/>
      <c r="FD316" s="142"/>
      <c r="FE316" s="142"/>
      <c r="FF316" s="142"/>
      <c r="FG316" s="142"/>
      <c r="FH316" s="142"/>
      <c r="FI316" s="142"/>
      <c r="FJ316" s="142"/>
      <c r="FK316" s="142"/>
      <c r="FL316" s="142"/>
      <c r="FM316" s="142"/>
      <c r="FN316" s="142"/>
      <c r="FO316" s="142"/>
      <c r="FP316" s="142"/>
      <c r="FQ316" s="142"/>
      <c r="FR316" s="142"/>
      <c r="FS316" s="142"/>
      <c r="FT316" s="142"/>
      <c r="FU316" s="142"/>
      <c r="FV316" s="142"/>
      <c r="FW316" s="142"/>
      <c r="FX316" s="142"/>
      <c r="FY316" s="142"/>
      <c r="FZ316" s="142"/>
      <c r="GA316" s="142"/>
      <c r="GB316" s="142"/>
      <c r="GC316" s="142"/>
      <c r="GD316" s="142"/>
      <c r="GE316" s="142"/>
      <c r="GF316" s="142"/>
      <c r="GG316" s="142"/>
      <c r="GH316" s="142"/>
      <c r="GI316" s="142"/>
      <c r="GJ316" s="142"/>
      <c r="GK316" s="142"/>
      <c r="GL316" s="142"/>
      <c r="GM316" s="142"/>
      <c r="GN316" s="142"/>
      <c r="GO316" s="142"/>
      <c r="GP316" s="142"/>
      <c r="GQ316" s="142"/>
      <c r="GR316" s="142"/>
      <c r="GS316" s="142"/>
      <c r="GT316" s="142"/>
      <c r="GU316" s="142"/>
      <c r="GV316" s="142"/>
      <c r="GW316" s="142"/>
      <c r="GX316" s="142"/>
      <c r="GY316" s="142"/>
      <c r="GZ316" s="142"/>
      <c r="HA316" s="142"/>
      <c r="HB316" s="142"/>
      <c r="HC316" s="142"/>
      <c r="HD316" s="142"/>
      <c r="HE316" s="142"/>
      <c r="HF316" s="142"/>
      <c r="HG316" s="142"/>
      <c r="HH316" s="142"/>
      <c r="HI316" s="142"/>
      <c r="HJ316" s="142"/>
      <c r="HK316" s="142"/>
      <c r="HL316" s="142"/>
      <c r="HM316" s="142"/>
      <c r="HN316" s="142"/>
      <c r="HO316" s="142"/>
      <c r="HP316" s="142"/>
      <c r="HQ316" s="142"/>
      <c r="HR316" s="142"/>
      <c r="HS316" s="142"/>
      <c r="HT316" s="142"/>
      <c r="HU316" s="142"/>
      <c r="HV316" s="142"/>
      <c r="HW316" s="142"/>
      <c r="HX316" s="142"/>
      <c r="HY316" s="142"/>
      <c r="HZ316" s="142"/>
      <c r="IA316" s="142"/>
      <c r="IB316" s="142"/>
      <c r="IC316" s="142"/>
      <c r="ID316" s="142"/>
      <c r="IE316" s="142"/>
      <c r="IF316" s="142"/>
      <c r="IG316" s="142"/>
      <c r="IH316" s="142"/>
      <c r="II316" s="142"/>
      <c r="IJ316" s="142"/>
    </row>
    <row r="317" spans="1:254" s="552" customFormat="1" ht="31.5">
      <c r="A317" s="117"/>
      <c r="B317" s="554" t="s">
        <v>534</v>
      </c>
      <c r="C317" s="555" t="s">
        <v>528</v>
      </c>
      <c r="D317" s="554" t="s">
        <v>232</v>
      </c>
      <c r="E317" s="554" t="s">
        <v>512</v>
      </c>
      <c r="F317" s="556"/>
      <c r="G317" s="554" t="s">
        <v>264</v>
      </c>
      <c r="H317" s="554" t="s">
        <v>512</v>
      </c>
      <c r="I317" s="554" t="s">
        <v>264</v>
      </c>
      <c r="J317" s="554" t="s">
        <v>512</v>
      </c>
      <c r="K317" s="554"/>
      <c r="L317" s="554"/>
      <c r="M317" s="554"/>
      <c r="N317" s="554"/>
      <c r="O317" s="148"/>
      <c r="P317" s="99"/>
      <c r="Q317" s="99"/>
      <c r="R317" s="99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  <c r="AW317" s="142"/>
      <c r="AX317" s="142"/>
      <c r="AY317" s="142"/>
      <c r="AZ317" s="142"/>
      <c r="BA317" s="142"/>
      <c r="BB317" s="142"/>
      <c r="BC317" s="142"/>
      <c r="BD317" s="142"/>
      <c r="BE317" s="142"/>
      <c r="BF317" s="142"/>
      <c r="BG317" s="142"/>
      <c r="BH317" s="142"/>
      <c r="BI317" s="142"/>
      <c r="BJ317" s="142"/>
      <c r="BK317" s="142"/>
      <c r="BL317" s="142"/>
      <c r="BM317" s="142"/>
      <c r="BN317" s="142"/>
      <c r="BO317" s="142"/>
      <c r="BP317" s="142"/>
      <c r="BQ317" s="142"/>
      <c r="BR317" s="142"/>
      <c r="BS317" s="142"/>
      <c r="BT317" s="142"/>
      <c r="BU317" s="142"/>
      <c r="BV317" s="142"/>
      <c r="BW317" s="142"/>
      <c r="BX317" s="142"/>
      <c r="BY317" s="142"/>
      <c r="BZ317" s="142"/>
      <c r="CA317" s="142"/>
      <c r="CB317" s="142"/>
      <c r="CC317" s="142"/>
      <c r="CD317" s="142"/>
      <c r="CE317" s="142"/>
      <c r="CF317" s="142"/>
      <c r="CG317" s="142"/>
      <c r="CH317" s="142"/>
      <c r="CI317" s="142"/>
      <c r="CJ317" s="142"/>
      <c r="CK317" s="142"/>
      <c r="CL317" s="142"/>
      <c r="CM317" s="142"/>
      <c r="CN317" s="142"/>
      <c r="CO317" s="142"/>
      <c r="CP317" s="142"/>
      <c r="CQ317" s="142"/>
      <c r="CR317" s="142"/>
      <c r="CS317" s="142"/>
      <c r="CT317" s="142"/>
      <c r="CU317" s="142"/>
      <c r="CV317" s="142"/>
      <c r="CW317" s="142"/>
      <c r="CX317" s="142"/>
      <c r="CY317" s="142"/>
      <c r="CZ317" s="142"/>
      <c r="DA317" s="142"/>
      <c r="DB317" s="142"/>
      <c r="DC317" s="142"/>
      <c r="DD317" s="142"/>
      <c r="DE317" s="142"/>
      <c r="DF317" s="142"/>
      <c r="DG317" s="142"/>
      <c r="DH317" s="142"/>
      <c r="DI317" s="142"/>
      <c r="DJ317" s="142"/>
      <c r="DK317" s="142"/>
      <c r="DL317" s="142"/>
      <c r="DM317" s="142"/>
      <c r="DN317" s="142"/>
      <c r="DO317" s="142"/>
      <c r="DP317" s="142"/>
      <c r="DQ317" s="142"/>
      <c r="DR317" s="142"/>
      <c r="DS317" s="142"/>
      <c r="DT317" s="142"/>
      <c r="DU317" s="142"/>
      <c r="DV317" s="142"/>
      <c r="DW317" s="142"/>
      <c r="DX317" s="142"/>
      <c r="DY317" s="142"/>
      <c r="DZ317" s="142"/>
      <c r="EA317" s="142"/>
      <c r="EB317" s="142"/>
      <c r="EC317" s="142"/>
      <c r="ED317" s="142"/>
      <c r="EE317" s="142"/>
      <c r="EF317" s="142"/>
      <c r="EG317" s="142"/>
      <c r="EH317" s="142"/>
      <c r="EI317" s="142"/>
      <c r="EJ317" s="142"/>
      <c r="EK317" s="142"/>
      <c r="EL317" s="142"/>
      <c r="EM317" s="142"/>
      <c r="EN317" s="142"/>
      <c r="EO317" s="142"/>
      <c r="EP317" s="142"/>
      <c r="EQ317" s="142"/>
      <c r="ER317" s="142"/>
      <c r="ES317" s="142"/>
      <c r="ET317" s="142"/>
      <c r="EU317" s="142"/>
      <c r="EV317" s="142"/>
      <c r="EW317" s="142"/>
      <c r="EX317" s="142"/>
      <c r="EY317" s="142"/>
      <c r="EZ317" s="142"/>
      <c r="FA317" s="142"/>
      <c r="FB317" s="142"/>
      <c r="FC317" s="142"/>
      <c r="FD317" s="142"/>
      <c r="FE317" s="142"/>
      <c r="FF317" s="142"/>
      <c r="FG317" s="142"/>
      <c r="FH317" s="142"/>
      <c r="FI317" s="142"/>
      <c r="FJ317" s="142"/>
      <c r="FK317" s="142"/>
      <c r="FL317" s="142"/>
      <c r="FM317" s="142"/>
      <c r="FN317" s="142"/>
      <c r="FO317" s="142"/>
      <c r="FP317" s="142"/>
      <c r="FQ317" s="142"/>
      <c r="FR317" s="142"/>
      <c r="FS317" s="142"/>
      <c r="FT317" s="142"/>
      <c r="FU317" s="142"/>
      <c r="FV317" s="142"/>
      <c r="FW317" s="142"/>
      <c r="FX317" s="142"/>
      <c r="FY317" s="142"/>
      <c r="FZ317" s="142"/>
      <c r="GA317" s="142"/>
      <c r="GB317" s="142"/>
      <c r="GC317" s="142"/>
      <c r="GD317" s="142"/>
      <c r="GE317" s="142"/>
      <c r="GF317" s="142"/>
      <c r="GG317" s="142"/>
      <c r="GH317" s="142"/>
      <c r="GI317" s="142"/>
      <c r="GJ317" s="142"/>
      <c r="GK317" s="142"/>
      <c r="GL317" s="142"/>
      <c r="GM317" s="142"/>
      <c r="GN317" s="142"/>
      <c r="GO317" s="142"/>
      <c r="GP317" s="142"/>
      <c r="GQ317" s="142"/>
      <c r="GR317" s="142"/>
      <c r="GS317" s="142"/>
      <c r="GT317" s="142"/>
      <c r="GU317" s="142"/>
      <c r="GV317" s="142"/>
      <c r="GW317" s="142"/>
      <c r="GX317" s="142"/>
      <c r="GY317" s="142"/>
      <c r="GZ317" s="142"/>
      <c r="HA317" s="142"/>
      <c r="HB317" s="142"/>
      <c r="HC317" s="142"/>
      <c r="HD317" s="142"/>
      <c r="HE317" s="142"/>
      <c r="HF317" s="142"/>
      <c r="HG317" s="142"/>
      <c r="HH317" s="142"/>
      <c r="HI317" s="142"/>
      <c r="HJ317" s="142"/>
      <c r="HK317" s="142"/>
      <c r="HL317" s="142"/>
      <c r="HM317" s="142"/>
      <c r="HN317" s="142"/>
      <c r="HO317" s="142"/>
      <c r="HP317" s="142"/>
      <c r="HQ317" s="142"/>
      <c r="HR317" s="142"/>
      <c r="HS317" s="142"/>
      <c r="HT317" s="142"/>
      <c r="HU317" s="142"/>
      <c r="HV317" s="142"/>
      <c r="HW317" s="142"/>
      <c r="HX317" s="142"/>
      <c r="HY317" s="142"/>
      <c r="HZ317" s="142"/>
      <c r="IA317" s="142"/>
      <c r="IB317" s="142"/>
      <c r="IC317" s="142"/>
      <c r="ID317" s="142"/>
      <c r="IE317" s="142"/>
      <c r="IF317" s="142"/>
      <c r="IG317" s="142"/>
      <c r="IH317" s="142"/>
      <c r="II317" s="142"/>
      <c r="IJ317" s="142"/>
      <c r="IT317" s="553"/>
    </row>
    <row r="318" spans="1:254" s="552" customFormat="1">
      <c r="A318" s="117"/>
      <c r="B318" s="574" t="s">
        <v>535</v>
      </c>
      <c r="C318" s="575" t="s">
        <v>529</v>
      </c>
      <c r="D318" s="574" t="s">
        <v>141</v>
      </c>
      <c r="E318" s="574" t="s">
        <v>530</v>
      </c>
      <c r="F318" s="576"/>
      <c r="G318" s="574" t="s">
        <v>264</v>
      </c>
      <c r="H318" s="574" t="s">
        <v>530</v>
      </c>
      <c r="I318" s="574" t="s">
        <v>264</v>
      </c>
      <c r="J318" s="574" t="s">
        <v>530</v>
      </c>
      <c r="K318" s="574"/>
      <c r="L318" s="574"/>
      <c r="M318" s="574"/>
      <c r="N318" s="574"/>
      <c r="O318" s="148">
        <f>3.61*18/1000</f>
        <v>6.498000000000001E-2</v>
      </c>
      <c r="P318" s="99"/>
      <c r="Q318" s="99"/>
      <c r="R318" s="99"/>
      <c r="S318" s="142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142"/>
      <c r="AT318" s="142"/>
      <c r="AU318" s="142"/>
      <c r="AV318" s="142"/>
      <c r="AW318" s="142"/>
      <c r="AX318" s="142"/>
      <c r="AY318" s="142"/>
      <c r="AZ318" s="142"/>
      <c r="BA318" s="142"/>
      <c r="BB318" s="142"/>
      <c r="BC318" s="142"/>
      <c r="BD318" s="142"/>
      <c r="BE318" s="142"/>
      <c r="BF318" s="142"/>
      <c r="BG318" s="142"/>
      <c r="BH318" s="142"/>
      <c r="BI318" s="142"/>
      <c r="BJ318" s="142"/>
      <c r="BK318" s="142"/>
      <c r="BL318" s="142"/>
      <c r="BM318" s="142"/>
      <c r="BN318" s="142"/>
      <c r="BO318" s="142"/>
      <c r="BP318" s="142"/>
      <c r="BQ318" s="142"/>
      <c r="BR318" s="142"/>
      <c r="BS318" s="142"/>
      <c r="BT318" s="142"/>
      <c r="BU318" s="142"/>
      <c r="BV318" s="142"/>
      <c r="BW318" s="142"/>
      <c r="BX318" s="142"/>
      <c r="BY318" s="142"/>
      <c r="BZ318" s="142"/>
      <c r="CA318" s="142"/>
      <c r="CB318" s="142"/>
      <c r="CC318" s="142"/>
      <c r="CD318" s="142"/>
      <c r="CE318" s="142"/>
      <c r="CF318" s="142"/>
      <c r="CG318" s="142"/>
      <c r="CH318" s="142"/>
      <c r="CI318" s="142"/>
      <c r="CJ318" s="142"/>
      <c r="CK318" s="142"/>
      <c r="CL318" s="142"/>
      <c r="CM318" s="142"/>
      <c r="CN318" s="142"/>
      <c r="CO318" s="142"/>
      <c r="CP318" s="142"/>
      <c r="CQ318" s="142"/>
      <c r="CR318" s="142"/>
      <c r="CS318" s="142"/>
      <c r="CT318" s="142"/>
      <c r="CU318" s="142"/>
      <c r="CV318" s="142"/>
      <c r="CW318" s="142"/>
      <c r="CX318" s="142"/>
      <c r="CY318" s="142"/>
      <c r="CZ318" s="142"/>
      <c r="DA318" s="142"/>
      <c r="DB318" s="142"/>
      <c r="DC318" s="142"/>
      <c r="DD318" s="142"/>
      <c r="DE318" s="142"/>
      <c r="DF318" s="142"/>
      <c r="DG318" s="142"/>
      <c r="DH318" s="142"/>
      <c r="DI318" s="142"/>
      <c r="DJ318" s="142"/>
      <c r="DK318" s="142"/>
      <c r="DL318" s="142"/>
      <c r="DM318" s="142"/>
      <c r="DN318" s="142"/>
      <c r="DO318" s="142"/>
      <c r="DP318" s="142"/>
      <c r="DQ318" s="142"/>
      <c r="DR318" s="142"/>
      <c r="DS318" s="142"/>
      <c r="DT318" s="142"/>
      <c r="DU318" s="142"/>
      <c r="DV318" s="142"/>
      <c r="DW318" s="142"/>
      <c r="DX318" s="142"/>
      <c r="DY318" s="142"/>
      <c r="DZ318" s="142"/>
      <c r="EA318" s="142"/>
      <c r="EB318" s="142"/>
      <c r="EC318" s="142"/>
      <c r="ED318" s="142"/>
      <c r="EE318" s="142"/>
      <c r="EF318" s="142"/>
      <c r="EG318" s="142"/>
      <c r="EH318" s="142"/>
      <c r="EI318" s="142"/>
      <c r="EJ318" s="142"/>
      <c r="EK318" s="142"/>
      <c r="EL318" s="142"/>
      <c r="EM318" s="142"/>
      <c r="EN318" s="142"/>
      <c r="EO318" s="142"/>
      <c r="EP318" s="142"/>
      <c r="EQ318" s="142"/>
      <c r="ER318" s="142"/>
      <c r="ES318" s="142"/>
      <c r="ET318" s="142"/>
      <c r="EU318" s="142"/>
      <c r="EV318" s="142"/>
      <c r="EW318" s="142"/>
      <c r="EX318" s="142"/>
      <c r="EY318" s="142"/>
      <c r="EZ318" s="142"/>
      <c r="FA318" s="142"/>
      <c r="FB318" s="142"/>
      <c r="FC318" s="142"/>
      <c r="FD318" s="142"/>
      <c r="FE318" s="142"/>
      <c r="FF318" s="142"/>
      <c r="FG318" s="142"/>
      <c r="FH318" s="142"/>
      <c r="FI318" s="142"/>
      <c r="FJ318" s="142"/>
      <c r="FK318" s="142"/>
      <c r="FL318" s="142"/>
      <c r="FM318" s="142"/>
      <c r="FN318" s="142"/>
      <c r="FO318" s="142"/>
      <c r="FP318" s="142"/>
      <c r="FQ318" s="142"/>
      <c r="FR318" s="142"/>
      <c r="FS318" s="142"/>
      <c r="FT318" s="142"/>
      <c r="FU318" s="142"/>
      <c r="FV318" s="142"/>
      <c r="FW318" s="142"/>
      <c r="FX318" s="142"/>
      <c r="FY318" s="142"/>
      <c r="FZ318" s="142"/>
      <c r="GA318" s="142"/>
      <c r="GB318" s="142"/>
      <c r="GC318" s="142"/>
      <c r="GD318" s="142"/>
      <c r="GE318" s="142"/>
      <c r="GF318" s="142"/>
      <c r="GG318" s="142"/>
      <c r="GH318" s="142"/>
      <c r="GI318" s="142"/>
      <c r="GJ318" s="142"/>
      <c r="GK318" s="142"/>
      <c r="GL318" s="142"/>
      <c r="GM318" s="142"/>
      <c r="GN318" s="142"/>
      <c r="GO318" s="142"/>
      <c r="GP318" s="142"/>
      <c r="GQ318" s="142"/>
      <c r="GR318" s="142"/>
      <c r="GS318" s="142"/>
      <c r="GT318" s="142"/>
      <c r="GU318" s="142"/>
      <c r="GV318" s="142"/>
      <c r="GW318" s="142"/>
      <c r="GX318" s="142"/>
      <c r="GY318" s="142"/>
      <c r="GZ318" s="142"/>
      <c r="HA318" s="142"/>
      <c r="HB318" s="142"/>
      <c r="HC318" s="142"/>
      <c r="HD318" s="142"/>
      <c r="HE318" s="142"/>
      <c r="HF318" s="142"/>
      <c r="HG318" s="142"/>
      <c r="HH318" s="142"/>
      <c r="HI318" s="142"/>
      <c r="HJ318" s="142"/>
      <c r="HK318" s="142"/>
      <c r="HL318" s="142"/>
      <c r="HM318" s="142"/>
      <c r="HN318" s="142"/>
      <c r="HO318" s="142"/>
      <c r="HP318" s="142"/>
      <c r="HQ318" s="142"/>
      <c r="HR318" s="142"/>
      <c r="HS318" s="142"/>
      <c r="HT318" s="142"/>
      <c r="HU318" s="142"/>
      <c r="HV318" s="142"/>
      <c r="HW318" s="142"/>
      <c r="HX318" s="142"/>
      <c r="HY318" s="142"/>
      <c r="HZ318" s="142"/>
      <c r="IA318" s="142"/>
      <c r="IB318" s="142"/>
      <c r="IC318" s="142"/>
      <c r="ID318" s="142"/>
      <c r="IE318" s="142"/>
      <c r="IF318" s="142"/>
      <c r="IG318" s="142"/>
      <c r="IH318" s="142"/>
      <c r="II318" s="142"/>
      <c r="IJ318" s="142"/>
    </row>
    <row r="319" spans="1:254" s="552" customFormat="1">
      <c r="A319" s="117"/>
      <c r="B319" s="557"/>
      <c r="C319" s="558" t="s">
        <v>531</v>
      </c>
      <c r="D319" s="557"/>
      <c r="E319" s="557"/>
      <c r="F319" s="559"/>
      <c r="G319" s="557"/>
      <c r="H319" s="557"/>
      <c r="I319" s="557"/>
      <c r="J319" s="557"/>
      <c r="K319" s="557"/>
      <c r="L319" s="557"/>
      <c r="M319" s="557"/>
      <c r="N319" s="557"/>
      <c r="O319" s="148"/>
      <c r="P319" s="99"/>
      <c r="Q319" s="99"/>
      <c r="R319" s="99"/>
      <c r="S319" s="142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  <c r="AR319" s="142"/>
      <c r="AS319" s="142"/>
      <c r="AT319" s="142"/>
      <c r="AU319" s="142"/>
      <c r="AV319" s="142"/>
      <c r="AW319" s="142"/>
      <c r="AX319" s="142"/>
      <c r="AY319" s="142"/>
      <c r="AZ319" s="142"/>
      <c r="BA319" s="142"/>
      <c r="BB319" s="142"/>
      <c r="BC319" s="142"/>
      <c r="BD319" s="142"/>
      <c r="BE319" s="142"/>
      <c r="BF319" s="142"/>
      <c r="BG319" s="142"/>
      <c r="BH319" s="142"/>
      <c r="BI319" s="142"/>
      <c r="BJ319" s="142"/>
      <c r="BK319" s="142"/>
      <c r="BL319" s="142"/>
      <c r="BM319" s="142"/>
      <c r="BN319" s="142"/>
      <c r="BO319" s="142"/>
      <c r="BP319" s="142"/>
      <c r="BQ319" s="142"/>
      <c r="BR319" s="142"/>
      <c r="BS319" s="142"/>
      <c r="BT319" s="142"/>
      <c r="BU319" s="142"/>
      <c r="BV319" s="142"/>
      <c r="BW319" s="142"/>
      <c r="BX319" s="142"/>
      <c r="BY319" s="142"/>
      <c r="BZ319" s="142"/>
      <c r="CA319" s="142"/>
      <c r="CB319" s="142"/>
      <c r="CC319" s="142"/>
      <c r="CD319" s="142"/>
      <c r="CE319" s="142"/>
      <c r="CF319" s="142"/>
      <c r="CG319" s="142"/>
      <c r="CH319" s="142"/>
      <c r="CI319" s="142"/>
      <c r="CJ319" s="142"/>
      <c r="CK319" s="142"/>
      <c r="CL319" s="142"/>
      <c r="CM319" s="142"/>
      <c r="CN319" s="142"/>
      <c r="CO319" s="142"/>
      <c r="CP319" s="142"/>
      <c r="CQ319" s="142"/>
      <c r="CR319" s="142"/>
      <c r="CS319" s="142"/>
      <c r="CT319" s="142"/>
      <c r="CU319" s="142"/>
      <c r="CV319" s="142"/>
      <c r="CW319" s="142"/>
      <c r="CX319" s="142"/>
      <c r="CY319" s="142"/>
      <c r="CZ319" s="142"/>
      <c r="DA319" s="142"/>
      <c r="DB319" s="142"/>
      <c r="DC319" s="142"/>
      <c r="DD319" s="142"/>
      <c r="DE319" s="142"/>
      <c r="DF319" s="142"/>
      <c r="DG319" s="142"/>
      <c r="DH319" s="142"/>
      <c r="DI319" s="142"/>
      <c r="DJ319" s="142"/>
      <c r="DK319" s="142"/>
      <c r="DL319" s="142"/>
      <c r="DM319" s="142"/>
      <c r="DN319" s="142"/>
      <c r="DO319" s="142"/>
      <c r="DP319" s="142"/>
      <c r="DQ319" s="142"/>
      <c r="DR319" s="142"/>
      <c r="DS319" s="142"/>
      <c r="DT319" s="142"/>
      <c r="DU319" s="142"/>
      <c r="DV319" s="142"/>
      <c r="DW319" s="142"/>
      <c r="DX319" s="142"/>
      <c r="DY319" s="142"/>
      <c r="DZ319" s="142"/>
      <c r="EA319" s="142"/>
      <c r="EB319" s="142"/>
      <c r="EC319" s="142"/>
      <c r="ED319" s="142"/>
      <c r="EE319" s="142"/>
      <c r="EF319" s="142"/>
      <c r="EG319" s="142"/>
      <c r="EH319" s="142"/>
      <c r="EI319" s="142"/>
      <c r="EJ319" s="142"/>
      <c r="EK319" s="142"/>
      <c r="EL319" s="142"/>
      <c r="EM319" s="142"/>
      <c r="EN319" s="142"/>
      <c r="EO319" s="142"/>
      <c r="EP319" s="142"/>
      <c r="EQ319" s="142"/>
      <c r="ER319" s="142"/>
      <c r="ES319" s="142"/>
      <c r="ET319" s="142"/>
      <c r="EU319" s="142"/>
      <c r="EV319" s="142"/>
      <c r="EW319" s="142"/>
      <c r="EX319" s="142"/>
      <c r="EY319" s="142"/>
      <c r="EZ319" s="142"/>
      <c r="FA319" s="142"/>
      <c r="FB319" s="142"/>
      <c r="FC319" s="142"/>
      <c r="FD319" s="142"/>
      <c r="FE319" s="142"/>
      <c r="FF319" s="142"/>
      <c r="FG319" s="142"/>
      <c r="FH319" s="142"/>
      <c r="FI319" s="142"/>
      <c r="FJ319" s="142"/>
      <c r="FK319" s="142"/>
      <c r="FL319" s="142"/>
      <c r="FM319" s="142"/>
      <c r="FN319" s="142"/>
      <c r="FO319" s="142"/>
      <c r="FP319" s="142"/>
      <c r="FQ319" s="142"/>
      <c r="FR319" s="142"/>
      <c r="FS319" s="142"/>
      <c r="FT319" s="142"/>
      <c r="FU319" s="142"/>
      <c r="FV319" s="142"/>
      <c r="FW319" s="142"/>
      <c r="FX319" s="142"/>
      <c r="FY319" s="142"/>
      <c r="FZ319" s="142"/>
      <c r="GA319" s="142"/>
      <c r="GB319" s="142"/>
      <c r="GC319" s="142"/>
      <c r="GD319" s="142"/>
      <c r="GE319" s="142"/>
      <c r="GF319" s="142"/>
      <c r="GG319" s="142"/>
      <c r="GH319" s="142"/>
      <c r="GI319" s="142"/>
      <c r="GJ319" s="142"/>
      <c r="GK319" s="142"/>
      <c r="GL319" s="142"/>
      <c r="GM319" s="142"/>
      <c r="GN319" s="142"/>
      <c r="GO319" s="142"/>
      <c r="GP319" s="142"/>
      <c r="GQ319" s="142"/>
      <c r="GR319" s="142"/>
      <c r="GS319" s="142"/>
      <c r="GT319" s="142"/>
      <c r="GU319" s="142"/>
      <c r="GV319" s="142"/>
      <c r="GW319" s="142"/>
      <c r="GX319" s="142"/>
      <c r="GY319" s="142"/>
      <c r="GZ319" s="142"/>
      <c r="HA319" s="142"/>
      <c r="HB319" s="142"/>
      <c r="HC319" s="142"/>
      <c r="HD319" s="142"/>
      <c r="HE319" s="142"/>
      <c r="HF319" s="142"/>
      <c r="HG319" s="142"/>
      <c r="HH319" s="142"/>
      <c r="HI319" s="142"/>
      <c r="HJ319" s="142"/>
      <c r="HK319" s="142"/>
      <c r="HL319" s="142"/>
      <c r="HM319" s="142"/>
      <c r="HN319" s="142"/>
      <c r="HO319" s="142"/>
      <c r="HP319" s="142"/>
      <c r="HQ319" s="142"/>
      <c r="HR319" s="142"/>
      <c r="HS319" s="142"/>
      <c r="HT319" s="142"/>
      <c r="HU319" s="142"/>
      <c r="HV319" s="142"/>
      <c r="HW319" s="142"/>
      <c r="HX319" s="142"/>
      <c r="HY319" s="142"/>
      <c r="HZ319" s="142"/>
      <c r="IA319" s="142"/>
      <c r="IB319" s="142"/>
      <c r="IC319" s="142"/>
      <c r="ID319" s="142"/>
      <c r="IE319" s="142"/>
      <c r="IF319" s="142"/>
      <c r="IG319" s="142"/>
      <c r="IH319" s="142"/>
      <c r="II319" s="142"/>
      <c r="IJ319" s="142"/>
      <c r="IT319" s="553"/>
    </row>
    <row r="320" spans="1:254" s="560" customFormat="1" ht="94.5">
      <c r="A320" s="117"/>
      <c r="B320" s="569" t="s">
        <v>536</v>
      </c>
      <c r="C320" s="570" t="s">
        <v>532</v>
      </c>
      <c r="D320" s="571" t="s">
        <v>400</v>
      </c>
      <c r="E320" s="572">
        <v>1.0109999999999999</v>
      </c>
      <c r="F320" s="573"/>
      <c r="G320" s="572" t="s">
        <v>264</v>
      </c>
      <c r="H320" s="572">
        <v>1.0109999999999999</v>
      </c>
      <c r="I320" s="572" t="s">
        <v>264</v>
      </c>
      <c r="J320" s="572">
        <v>1.0109999999999999</v>
      </c>
      <c r="K320" s="572"/>
      <c r="L320" s="572"/>
      <c r="M320" s="572"/>
      <c r="N320" s="572"/>
      <c r="O320" s="148">
        <f>(18*3.22*15.9+0.39*18*12.7)/1000</f>
        <v>1.010718</v>
      </c>
      <c r="P320" s="99"/>
      <c r="Q320" s="99"/>
      <c r="R320" s="99"/>
      <c r="S320" s="142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142"/>
      <c r="AT320" s="142"/>
      <c r="AU320" s="142"/>
      <c r="AV320" s="142"/>
      <c r="AW320" s="142"/>
      <c r="AX320" s="142"/>
      <c r="AY320" s="142"/>
      <c r="AZ320" s="142"/>
      <c r="BA320" s="142"/>
      <c r="BB320" s="142"/>
      <c r="BC320" s="142"/>
      <c r="BD320" s="142"/>
      <c r="BE320" s="142"/>
      <c r="BF320" s="142"/>
      <c r="BG320" s="142"/>
      <c r="BH320" s="142"/>
      <c r="BI320" s="142"/>
      <c r="BJ320" s="142"/>
      <c r="BK320" s="142"/>
      <c r="BL320" s="142"/>
      <c r="BM320" s="142"/>
      <c r="BN320" s="142"/>
      <c r="BO320" s="142"/>
      <c r="BP320" s="142"/>
      <c r="BQ320" s="142"/>
      <c r="BR320" s="142"/>
      <c r="BS320" s="142"/>
      <c r="BT320" s="142"/>
      <c r="BU320" s="142"/>
      <c r="BV320" s="142"/>
      <c r="BW320" s="142"/>
      <c r="BX320" s="142"/>
      <c r="BY320" s="142"/>
      <c r="BZ320" s="142"/>
      <c r="CA320" s="142"/>
      <c r="CB320" s="142"/>
      <c r="CC320" s="142"/>
      <c r="CD320" s="142"/>
      <c r="CE320" s="142"/>
      <c r="CF320" s="142"/>
      <c r="CG320" s="142"/>
      <c r="CH320" s="142"/>
      <c r="CI320" s="142"/>
      <c r="CJ320" s="142"/>
      <c r="CK320" s="142"/>
      <c r="CL320" s="142"/>
      <c r="CM320" s="142"/>
      <c r="CN320" s="142"/>
      <c r="CO320" s="142"/>
      <c r="CP320" s="142"/>
      <c r="CQ320" s="142"/>
      <c r="CR320" s="142"/>
      <c r="CS320" s="142"/>
      <c r="CT320" s="142"/>
      <c r="CU320" s="142"/>
      <c r="CV320" s="142"/>
      <c r="CW320" s="142"/>
      <c r="CX320" s="142"/>
      <c r="CY320" s="142"/>
      <c r="CZ320" s="142"/>
      <c r="DA320" s="142"/>
      <c r="DB320" s="142"/>
      <c r="DC320" s="142"/>
      <c r="DD320" s="142"/>
      <c r="DE320" s="142"/>
      <c r="DF320" s="142"/>
      <c r="DG320" s="142"/>
      <c r="DH320" s="142"/>
      <c r="DI320" s="142"/>
      <c r="DJ320" s="142"/>
      <c r="DK320" s="142"/>
      <c r="DL320" s="142"/>
      <c r="DM320" s="142"/>
      <c r="DN320" s="142"/>
      <c r="DO320" s="142"/>
      <c r="DP320" s="142"/>
      <c r="DQ320" s="142"/>
      <c r="DR320" s="142"/>
      <c r="DS320" s="142"/>
      <c r="DT320" s="142"/>
      <c r="DU320" s="142"/>
      <c r="DV320" s="142"/>
      <c r="DW320" s="142"/>
      <c r="DX320" s="142"/>
      <c r="DY320" s="142"/>
      <c r="DZ320" s="142"/>
      <c r="EA320" s="142"/>
      <c r="EB320" s="142"/>
      <c r="EC320" s="142"/>
      <c r="ED320" s="142"/>
      <c r="EE320" s="142"/>
      <c r="EF320" s="142"/>
      <c r="EG320" s="142"/>
      <c r="EH320" s="142"/>
      <c r="EI320" s="142"/>
      <c r="EJ320" s="142"/>
      <c r="EK320" s="142"/>
      <c r="EL320" s="142"/>
      <c r="EM320" s="142"/>
      <c r="EN320" s="142"/>
      <c r="EO320" s="142"/>
      <c r="EP320" s="142"/>
      <c r="EQ320" s="142"/>
      <c r="ER320" s="142"/>
      <c r="ES320" s="142"/>
      <c r="ET320" s="142"/>
      <c r="EU320" s="142"/>
      <c r="EV320" s="142"/>
      <c r="EW320" s="142"/>
      <c r="EX320" s="142"/>
      <c r="EY320" s="142"/>
      <c r="EZ320" s="142"/>
      <c r="FA320" s="142"/>
      <c r="FB320" s="142"/>
      <c r="FC320" s="142"/>
      <c r="FD320" s="142"/>
      <c r="FE320" s="142"/>
      <c r="FF320" s="142"/>
      <c r="FG320" s="142"/>
      <c r="FH320" s="142"/>
      <c r="FI320" s="142"/>
      <c r="FJ320" s="142"/>
      <c r="FK320" s="142"/>
      <c r="FL320" s="142"/>
      <c r="FM320" s="142"/>
      <c r="FN320" s="142"/>
      <c r="FO320" s="142"/>
      <c r="FP320" s="142"/>
      <c r="FQ320" s="142"/>
      <c r="FR320" s="142"/>
      <c r="FS320" s="142"/>
      <c r="FT320" s="142"/>
      <c r="FU320" s="142"/>
      <c r="FV320" s="142"/>
      <c r="FW320" s="142"/>
      <c r="FX320" s="142"/>
      <c r="FY320" s="142"/>
      <c r="FZ320" s="142"/>
      <c r="GA320" s="142"/>
      <c r="GB320" s="142"/>
      <c r="GC320" s="142"/>
      <c r="GD320" s="142"/>
      <c r="GE320" s="142"/>
      <c r="GF320" s="142"/>
      <c r="GG320" s="142"/>
      <c r="GH320" s="142"/>
      <c r="GI320" s="142"/>
      <c r="GJ320" s="142"/>
      <c r="GK320" s="142"/>
      <c r="GL320" s="142"/>
      <c r="GM320" s="142"/>
      <c r="GN320" s="142"/>
      <c r="GO320" s="142"/>
      <c r="GP320" s="142"/>
      <c r="GQ320" s="142"/>
      <c r="GR320" s="142"/>
      <c r="GS320" s="142"/>
      <c r="GT320" s="142"/>
      <c r="GU320" s="142"/>
      <c r="GV320" s="142"/>
      <c r="GW320" s="142"/>
      <c r="GX320" s="142"/>
      <c r="GY320" s="142"/>
      <c r="GZ320" s="142"/>
      <c r="HA320" s="142"/>
      <c r="HB320" s="142"/>
      <c r="HC320" s="142"/>
      <c r="HD320" s="142"/>
      <c r="HE320" s="142"/>
      <c r="HF320" s="142"/>
      <c r="HG320" s="142"/>
      <c r="HH320" s="142"/>
      <c r="HI320" s="142"/>
      <c r="HJ320" s="142"/>
      <c r="HK320" s="142"/>
      <c r="HL320" s="142"/>
      <c r="HM320" s="142"/>
      <c r="HN320" s="142"/>
      <c r="HO320" s="142"/>
      <c r="HP320" s="142"/>
      <c r="HQ320" s="142"/>
      <c r="HR320" s="142"/>
      <c r="HS320" s="142"/>
      <c r="HT320" s="142"/>
      <c r="HU320" s="142"/>
      <c r="HV320" s="142"/>
      <c r="HW320" s="142"/>
      <c r="HX320" s="142"/>
      <c r="HY320" s="142"/>
      <c r="HZ320" s="142"/>
      <c r="IA320" s="142"/>
      <c r="IB320" s="142"/>
      <c r="IC320" s="142"/>
      <c r="ID320" s="142"/>
      <c r="IE320" s="142"/>
      <c r="IF320" s="142"/>
      <c r="IG320" s="142"/>
      <c r="IH320" s="142"/>
      <c r="II320" s="142"/>
      <c r="IJ320" s="142"/>
    </row>
    <row r="321" spans="1:254">
      <c r="B321" s="526"/>
      <c r="C321" s="525"/>
      <c r="D321" s="525"/>
      <c r="E321" s="525"/>
      <c r="F321" s="525"/>
      <c r="G321" s="525"/>
      <c r="H321" s="525"/>
      <c r="I321" s="525"/>
      <c r="J321" s="525"/>
      <c r="K321" s="525"/>
      <c r="L321" s="525"/>
      <c r="M321" s="525"/>
      <c r="N321" s="527"/>
      <c r="IT321" s="112"/>
    </row>
    <row r="322" spans="1:254">
      <c r="B322" s="526"/>
      <c r="C322" s="525"/>
      <c r="D322" s="525"/>
      <c r="E322" s="525"/>
      <c r="F322" s="525"/>
      <c r="G322" s="525"/>
      <c r="H322" s="525"/>
      <c r="I322" s="525"/>
      <c r="J322" s="525"/>
      <c r="K322" s="525"/>
      <c r="L322" s="525"/>
      <c r="M322" s="525"/>
      <c r="N322" s="527"/>
      <c r="IT322" s="112"/>
    </row>
    <row r="323" spans="1:254">
      <c r="B323" s="526"/>
      <c r="C323" s="525"/>
      <c r="D323" s="525"/>
      <c r="E323" s="525"/>
      <c r="F323" s="525"/>
      <c r="G323" s="525"/>
      <c r="H323" s="525"/>
      <c r="I323" s="525"/>
      <c r="J323" s="525"/>
      <c r="K323" s="525"/>
      <c r="L323" s="525"/>
      <c r="M323" s="525"/>
      <c r="N323" s="527"/>
      <c r="IT323" s="112"/>
    </row>
    <row r="324" spans="1:254">
      <c r="B324" s="526"/>
      <c r="C324" s="525"/>
      <c r="D324" s="525"/>
      <c r="E324" s="525"/>
      <c r="F324" s="525"/>
      <c r="G324" s="525"/>
      <c r="H324" s="525"/>
      <c r="I324" s="525"/>
      <c r="J324" s="525"/>
      <c r="K324" s="525"/>
      <c r="L324" s="525"/>
      <c r="M324" s="525"/>
      <c r="N324" s="527"/>
      <c r="IT324" s="112"/>
    </row>
    <row r="325" spans="1:254" ht="60.95" customHeight="1" thickBot="1">
      <c r="A325" s="463" t="s">
        <v>510</v>
      </c>
      <c r="B325" s="528"/>
      <c r="C325" s="529"/>
      <c r="D325" s="529"/>
      <c r="E325" s="529"/>
      <c r="F325" s="529"/>
      <c r="G325" s="529"/>
      <c r="H325" s="529"/>
      <c r="I325" s="529"/>
      <c r="J325" s="529"/>
      <c r="K325" s="529"/>
      <c r="L325" s="529"/>
      <c r="M325" s="529"/>
      <c r="N325" s="530"/>
      <c r="IT325" s="112"/>
    </row>
    <row r="326" spans="1:254" ht="30" customHeight="1" thickBot="1">
      <c r="A326" s="463" t="s">
        <v>510</v>
      </c>
      <c r="B326" s="531"/>
      <c r="C326" s="531"/>
      <c r="D326" s="531"/>
      <c r="E326" s="531"/>
      <c r="F326" s="531"/>
      <c r="G326" s="531"/>
      <c r="H326" s="531"/>
      <c r="I326" s="531"/>
      <c r="J326" s="531"/>
      <c r="K326" s="531"/>
      <c r="L326" s="531"/>
      <c r="M326" s="531"/>
      <c r="N326" s="531"/>
      <c r="IT326" s="112"/>
    </row>
    <row r="327" spans="1:254" ht="16.5" thickBot="1">
      <c r="B327" s="638"/>
      <c r="C327" s="639"/>
      <c r="D327" s="639"/>
      <c r="E327" s="639"/>
      <c r="F327" s="639"/>
      <c r="G327" s="639"/>
      <c r="H327" s="639"/>
      <c r="I327" s="639"/>
      <c r="J327" s="639"/>
      <c r="K327" s="639"/>
      <c r="L327" s="639"/>
      <c r="M327" s="639"/>
      <c r="N327" s="640"/>
    </row>
  </sheetData>
  <mergeCells count="146">
    <mergeCell ref="M2:N2"/>
    <mergeCell ref="I2:J2"/>
    <mergeCell ref="G1:N1"/>
    <mergeCell ref="G2:H2"/>
    <mergeCell ref="O5:R5"/>
    <mergeCell ref="M5:N5"/>
    <mergeCell ref="O136:P136"/>
    <mergeCell ref="K2:L2"/>
    <mergeCell ref="G5:H5"/>
    <mergeCell ref="I5:J5"/>
    <mergeCell ref="K5:L5"/>
    <mergeCell ref="B1:B3"/>
    <mergeCell ref="D1:D3"/>
    <mergeCell ref="F1:F3"/>
    <mergeCell ref="C1:C3"/>
    <mergeCell ref="E1:E3"/>
    <mergeCell ref="B18:B20"/>
    <mergeCell ref="C18:C20"/>
    <mergeCell ref="D18:D20"/>
    <mergeCell ref="E18:E20"/>
    <mergeCell ref="F18:F20"/>
    <mergeCell ref="G18:N18"/>
    <mergeCell ref="G19:H19"/>
    <mergeCell ref="I19:J19"/>
    <mergeCell ref="K19:L19"/>
    <mergeCell ref="M19:N19"/>
    <mergeCell ref="B44:B46"/>
    <mergeCell ref="C44:C46"/>
    <mergeCell ref="D44:D46"/>
    <mergeCell ref="E44:E46"/>
    <mergeCell ref="F44:F46"/>
    <mergeCell ref="G44:N44"/>
    <mergeCell ref="G45:H45"/>
    <mergeCell ref="I45:J45"/>
    <mergeCell ref="K45:L45"/>
    <mergeCell ref="M45:N45"/>
    <mergeCell ref="B72:B74"/>
    <mergeCell ref="C72:C74"/>
    <mergeCell ref="D72:D74"/>
    <mergeCell ref="E72:E74"/>
    <mergeCell ref="F72:F74"/>
    <mergeCell ref="G72:N72"/>
    <mergeCell ref="G73:H73"/>
    <mergeCell ref="I73:J73"/>
    <mergeCell ref="K73:L73"/>
    <mergeCell ref="M73:N73"/>
    <mergeCell ref="B100:B102"/>
    <mergeCell ref="C100:C102"/>
    <mergeCell ref="D100:D102"/>
    <mergeCell ref="E100:E102"/>
    <mergeCell ref="F100:F102"/>
    <mergeCell ref="G100:N100"/>
    <mergeCell ref="G101:H101"/>
    <mergeCell ref="I101:J101"/>
    <mergeCell ref="K101:L101"/>
    <mergeCell ref="M101:N101"/>
    <mergeCell ref="B120:B122"/>
    <mergeCell ref="C120:C122"/>
    <mergeCell ref="D120:D122"/>
    <mergeCell ref="E120:E122"/>
    <mergeCell ref="F120:F122"/>
    <mergeCell ref="G120:N120"/>
    <mergeCell ref="G121:H121"/>
    <mergeCell ref="I121:J121"/>
    <mergeCell ref="K121:L121"/>
    <mergeCell ref="M121:N121"/>
    <mergeCell ref="B144:B146"/>
    <mergeCell ref="C144:C146"/>
    <mergeCell ref="D144:D146"/>
    <mergeCell ref="E144:E146"/>
    <mergeCell ref="F144:F146"/>
    <mergeCell ref="G144:N144"/>
    <mergeCell ref="G145:H145"/>
    <mergeCell ref="I145:J145"/>
    <mergeCell ref="K145:L145"/>
    <mergeCell ref="M145:N145"/>
    <mergeCell ref="B166:B168"/>
    <mergeCell ref="C166:C168"/>
    <mergeCell ref="D166:D168"/>
    <mergeCell ref="E166:E168"/>
    <mergeCell ref="F166:F168"/>
    <mergeCell ref="G166:N166"/>
    <mergeCell ref="G167:H167"/>
    <mergeCell ref="I167:J167"/>
    <mergeCell ref="K167:L167"/>
    <mergeCell ref="M167:N167"/>
    <mergeCell ref="B191:B193"/>
    <mergeCell ref="C191:C193"/>
    <mergeCell ref="D191:D193"/>
    <mergeCell ref="E191:E193"/>
    <mergeCell ref="F191:F193"/>
    <mergeCell ref="G191:N191"/>
    <mergeCell ref="G192:H192"/>
    <mergeCell ref="I192:J192"/>
    <mergeCell ref="K192:L192"/>
    <mergeCell ref="M192:N192"/>
    <mergeCell ref="B212:B214"/>
    <mergeCell ref="C212:C214"/>
    <mergeCell ref="D212:D214"/>
    <mergeCell ref="E212:E214"/>
    <mergeCell ref="F212:F214"/>
    <mergeCell ref="G212:N212"/>
    <mergeCell ref="G213:H213"/>
    <mergeCell ref="I213:J213"/>
    <mergeCell ref="K213:L213"/>
    <mergeCell ref="M213:N213"/>
    <mergeCell ref="B238:B240"/>
    <mergeCell ref="C238:C240"/>
    <mergeCell ref="D238:D240"/>
    <mergeCell ref="E238:E240"/>
    <mergeCell ref="F238:F240"/>
    <mergeCell ref="G238:N238"/>
    <mergeCell ref="G239:H239"/>
    <mergeCell ref="I239:J239"/>
    <mergeCell ref="K239:L239"/>
    <mergeCell ref="M239:N239"/>
    <mergeCell ref="B260:B262"/>
    <mergeCell ref="C260:C262"/>
    <mergeCell ref="D260:D262"/>
    <mergeCell ref="E260:E262"/>
    <mergeCell ref="F260:F262"/>
    <mergeCell ref="G260:N260"/>
    <mergeCell ref="G261:H261"/>
    <mergeCell ref="I261:J261"/>
    <mergeCell ref="K261:L261"/>
    <mergeCell ref="M261:N261"/>
    <mergeCell ref="B284:B286"/>
    <mergeCell ref="C284:C286"/>
    <mergeCell ref="D284:D286"/>
    <mergeCell ref="E284:E286"/>
    <mergeCell ref="F284:F286"/>
    <mergeCell ref="G284:N284"/>
    <mergeCell ref="G285:H285"/>
    <mergeCell ref="I285:J285"/>
    <mergeCell ref="K285:L285"/>
    <mergeCell ref="M285:N285"/>
    <mergeCell ref="B304:B306"/>
    <mergeCell ref="C304:C306"/>
    <mergeCell ref="D304:D306"/>
    <mergeCell ref="E304:E306"/>
    <mergeCell ref="F304:F306"/>
    <mergeCell ref="G304:N304"/>
    <mergeCell ref="G305:H305"/>
    <mergeCell ref="I305:J305"/>
    <mergeCell ref="K305:L305"/>
    <mergeCell ref="M305:N305"/>
  </mergeCells>
  <phoneticPr fontId="3" type="noConversion"/>
  <pageMargins left="0.19685039370078741" right="0.31496062992125984" top="0.39370078740157483" bottom="0.19685039370078741" header="0.39370078740157483" footer="0.19685039370078741"/>
  <pageSetup paperSize="9" scale="65" fitToHeight="68" orientation="landscape" blackAndWhite="1" r:id="rId1"/>
  <headerFooter alignWithMargins="0"/>
  <customProperties>
    <customPr name="TitleRow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N600"/>
  <sheetViews>
    <sheetView zoomScale="96" zoomScaleNormal="96" workbookViewId="0">
      <selection activeCell="N12" sqref="N12"/>
    </sheetView>
  </sheetViews>
  <sheetFormatPr defaultRowHeight="12.75"/>
  <cols>
    <col min="1" max="1" width="15.85546875" customWidth="1"/>
    <col min="2" max="3" width="5" customWidth="1"/>
    <col min="4" max="4" width="5.28515625" customWidth="1"/>
    <col min="5" max="5" width="5.7109375" customWidth="1"/>
    <col min="6" max="6" width="7.28515625" customWidth="1"/>
    <col min="7" max="7" width="5.140625" customWidth="1"/>
    <col min="8" max="8" width="34.140625" customWidth="1"/>
    <col min="9" max="10" width="7" customWidth="1"/>
    <col min="11" max="11" width="10.5703125" customWidth="1"/>
    <col min="12" max="12" width="5.7109375" customWidth="1"/>
    <col min="14" max="15" width="5" customWidth="1"/>
    <col min="16" max="16" width="5.28515625" customWidth="1"/>
    <col min="17" max="17" width="5.7109375" customWidth="1"/>
    <col min="18" max="18" width="7.28515625" customWidth="1"/>
    <col min="19" max="19" width="5.140625" customWidth="1"/>
    <col min="20" max="20" width="51.7109375" customWidth="1"/>
    <col min="21" max="21" width="7" customWidth="1"/>
    <col min="24" max="24" width="9.7109375" customWidth="1"/>
    <col min="25" max="25" width="10.7109375" customWidth="1"/>
    <col min="26" max="26" width="7.140625" customWidth="1"/>
    <col min="27" max="27" width="5" customWidth="1"/>
    <col min="28" max="28" width="34.140625" customWidth="1"/>
    <col min="29" max="29" width="13.28515625" customWidth="1"/>
    <col min="30" max="30" width="10" customWidth="1"/>
    <col min="33" max="33" width="5" style="28" customWidth="1"/>
    <col min="34" max="34" width="7.140625" style="28" customWidth="1"/>
    <col min="35" max="35" width="5.28515625" style="28" customWidth="1"/>
    <col min="36" max="36" width="11.5703125" style="28" customWidth="1"/>
    <col min="37" max="37" width="7.28515625" style="28" customWidth="1"/>
    <col min="38" max="38" width="5" style="28" customWidth="1"/>
    <col min="39" max="39" width="5.140625" style="28" customWidth="1"/>
    <col min="40" max="40" width="7.140625" style="28" customWidth="1"/>
  </cols>
  <sheetData>
    <row r="1" spans="1:40" ht="17.25" customHeight="1" thickBot="1">
      <c r="A1">
        <v>8.43</v>
      </c>
      <c r="B1" s="86">
        <v>4.29</v>
      </c>
      <c r="C1" s="86">
        <v>4.29</v>
      </c>
      <c r="D1" s="86">
        <v>4.57</v>
      </c>
      <c r="E1" s="86">
        <v>5</v>
      </c>
      <c r="F1" s="86">
        <v>6.57</v>
      </c>
      <c r="G1" s="86">
        <v>4.43</v>
      </c>
      <c r="H1" s="86">
        <v>33.43</v>
      </c>
      <c r="I1" s="86">
        <v>6.29</v>
      </c>
      <c r="J1" s="86">
        <v>6.29</v>
      </c>
      <c r="K1" s="86">
        <v>9.86</v>
      </c>
      <c r="L1" s="3">
        <v>5</v>
      </c>
      <c r="M1">
        <v>8.43</v>
      </c>
      <c r="N1">
        <v>4.29</v>
      </c>
      <c r="O1">
        <v>4.29</v>
      </c>
      <c r="P1">
        <v>4.57</v>
      </c>
      <c r="Q1">
        <v>5</v>
      </c>
      <c r="R1">
        <v>6.57</v>
      </c>
      <c r="S1">
        <v>4.43</v>
      </c>
      <c r="T1">
        <v>51</v>
      </c>
      <c r="U1">
        <v>6.29</v>
      </c>
      <c r="V1">
        <v>8.43</v>
      </c>
      <c r="W1">
        <v>8.43</v>
      </c>
      <c r="X1">
        <v>8.57</v>
      </c>
      <c r="Y1">
        <v>9.57</v>
      </c>
      <c r="Z1">
        <v>6.57</v>
      </c>
      <c r="AA1">
        <v>4.43</v>
      </c>
      <c r="AB1">
        <v>33.43</v>
      </c>
      <c r="AC1">
        <v>12.57</v>
      </c>
      <c r="AD1">
        <v>9.86</v>
      </c>
      <c r="AE1">
        <v>8.43</v>
      </c>
    </row>
    <row r="2" spans="1:40" ht="14.25" customHeight="1" thickTop="1" thickBot="1">
      <c r="B2" s="36"/>
      <c r="C2" s="36"/>
      <c r="D2" s="36"/>
      <c r="E2" s="36"/>
      <c r="F2" s="36"/>
      <c r="G2" s="268"/>
      <c r="H2" s="723" t="s">
        <v>558</v>
      </c>
      <c r="I2" s="724"/>
      <c r="J2" s="724"/>
      <c r="K2" s="724"/>
      <c r="L2" s="3"/>
      <c r="N2" s="66"/>
      <c r="O2" s="42" t="s">
        <v>4</v>
      </c>
      <c r="P2" s="65"/>
      <c r="Q2" s="42" t="s">
        <v>4</v>
      </c>
      <c r="R2" s="42" t="s">
        <v>4</v>
      </c>
      <c r="S2" s="42" t="s">
        <v>4</v>
      </c>
      <c r="T2" s="726" t="s">
        <v>558</v>
      </c>
      <c r="U2" s="37" t="s">
        <v>93</v>
      </c>
      <c r="X2" s="20" t="s">
        <v>99</v>
      </c>
      <c r="Y2" s="21" t="s">
        <v>40</v>
      </c>
      <c r="Z2" s="21"/>
      <c r="AA2" s="21"/>
      <c r="AB2" s="753"/>
      <c r="AC2" s="734"/>
      <c r="AD2" s="735"/>
      <c r="AG2" s="773" t="s">
        <v>8</v>
      </c>
      <c r="AH2" s="774"/>
      <c r="AI2" s="775" t="s">
        <v>9</v>
      </c>
      <c r="AJ2" s="774"/>
      <c r="AK2" s="775" t="s">
        <v>10</v>
      </c>
      <c r="AL2" s="774"/>
      <c r="AM2" s="29" t="s">
        <v>19</v>
      </c>
      <c r="AN2" s="30" t="s">
        <v>25</v>
      </c>
    </row>
    <row r="3" spans="1:40" ht="14.25" customHeight="1" thickBot="1">
      <c r="B3" s="43">
        <v>13</v>
      </c>
      <c r="C3" s="43" t="s">
        <v>264</v>
      </c>
      <c r="D3" s="43" t="s">
        <v>577</v>
      </c>
      <c r="E3" s="43" t="s">
        <v>578</v>
      </c>
      <c r="F3" s="43"/>
      <c r="G3" s="108" t="s">
        <v>576</v>
      </c>
      <c r="H3" s="725"/>
      <c r="I3" s="725"/>
      <c r="J3" s="725"/>
      <c r="K3" s="725"/>
      <c r="L3" s="3"/>
      <c r="N3" s="67">
        <v>13</v>
      </c>
      <c r="O3" s="44" t="s">
        <v>264</v>
      </c>
      <c r="P3" s="44" t="s">
        <v>577</v>
      </c>
      <c r="Q3" s="44" t="s">
        <v>578</v>
      </c>
      <c r="R3" s="44" t="s">
        <v>4</v>
      </c>
      <c r="S3" s="44" t="s">
        <v>576</v>
      </c>
      <c r="T3" s="653"/>
      <c r="U3" s="728">
        <v>14</v>
      </c>
      <c r="X3" s="22" t="s">
        <v>41</v>
      </c>
      <c r="Y3" s="19" t="s">
        <v>42</v>
      </c>
      <c r="Z3" s="19"/>
      <c r="AA3" s="19"/>
      <c r="AB3" s="754"/>
      <c r="AC3" s="736"/>
      <c r="AD3" s="737"/>
      <c r="AG3" s="776">
        <v>100492</v>
      </c>
      <c r="AH3" s="777"/>
      <c r="AI3" s="778"/>
      <c r="AJ3" s="777"/>
      <c r="AK3" s="778"/>
      <c r="AL3" s="779"/>
      <c r="AM3" s="94"/>
      <c r="AN3" s="93"/>
    </row>
    <row r="4" spans="1:40" ht="14.25" customHeight="1" thickBot="1">
      <c r="B4" s="40" t="s">
        <v>94</v>
      </c>
      <c r="C4" s="40" t="s">
        <v>95</v>
      </c>
      <c r="D4" s="40" t="s">
        <v>93</v>
      </c>
      <c r="E4" s="40" t="s">
        <v>96</v>
      </c>
      <c r="F4" s="41" t="s">
        <v>97</v>
      </c>
      <c r="G4" s="41" t="s">
        <v>98</v>
      </c>
      <c r="H4" s="725"/>
      <c r="I4" s="725"/>
      <c r="J4" s="725"/>
      <c r="K4" s="725"/>
      <c r="L4" s="3"/>
      <c r="N4" s="34" t="s">
        <v>94</v>
      </c>
      <c r="O4" s="45" t="s">
        <v>95</v>
      </c>
      <c r="P4" s="35" t="s">
        <v>93</v>
      </c>
      <c r="Q4" s="35" t="s">
        <v>96</v>
      </c>
      <c r="R4" s="35" t="s">
        <v>97</v>
      </c>
      <c r="S4" s="35" t="s">
        <v>98</v>
      </c>
      <c r="T4" s="727"/>
      <c r="U4" s="729"/>
      <c r="X4" s="22" t="s">
        <v>43</v>
      </c>
      <c r="Y4" s="19" t="s">
        <v>44</v>
      </c>
      <c r="Z4" s="19"/>
      <c r="AA4" s="19"/>
      <c r="AB4" s="754"/>
      <c r="AC4" s="736"/>
      <c r="AD4" s="737"/>
    </row>
    <row r="5" spans="1:40" ht="14.25" customHeight="1" thickBot="1">
      <c r="B5" s="719" t="s">
        <v>5</v>
      </c>
      <c r="C5" s="719"/>
      <c r="D5" s="730" t="s">
        <v>222</v>
      </c>
      <c r="E5" s="730"/>
      <c r="F5" s="38"/>
      <c r="G5" s="108" t="s">
        <v>576</v>
      </c>
      <c r="H5" s="731" t="s">
        <v>221</v>
      </c>
      <c r="I5" s="41" t="s">
        <v>0</v>
      </c>
      <c r="J5" s="41" t="s">
        <v>93</v>
      </c>
      <c r="K5" s="41" t="s">
        <v>1</v>
      </c>
      <c r="L5" s="3"/>
      <c r="X5" s="22"/>
      <c r="Y5" s="19"/>
      <c r="Z5" s="19"/>
      <c r="AA5" s="19"/>
      <c r="AB5" s="736"/>
      <c r="AC5" s="736"/>
      <c r="AD5" s="4" t="s">
        <v>1</v>
      </c>
    </row>
    <row r="6" spans="1:40" ht="14.25" customHeight="1" thickBot="1">
      <c r="B6" s="719" t="s">
        <v>3</v>
      </c>
      <c r="C6" s="719"/>
      <c r="D6" s="730" t="s">
        <v>222</v>
      </c>
      <c r="E6" s="730"/>
      <c r="F6" s="38"/>
      <c r="G6" s="108" t="s">
        <v>576</v>
      </c>
      <c r="H6" s="732"/>
      <c r="I6" s="76" t="s">
        <v>2</v>
      </c>
      <c r="J6" s="76">
        <v>1</v>
      </c>
      <c r="K6" s="76">
        <v>14</v>
      </c>
      <c r="L6" s="3"/>
      <c r="X6" s="22" t="s">
        <v>7</v>
      </c>
      <c r="Y6" s="19" t="s">
        <v>54</v>
      </c>
      <c r="Z6" s="19"/>
      <c r="AA6" s="19"/>
      <c r="AB6" s="736"/>
      <c r="AC6" s="736"/>
      <c r="AD6" s="739"/>
    </row>
    <row r="7" spans="1:40" ht="14.25" customHeight="1" thickBot="1">
      <c r="B7" s="716" t="s">
        <v>22</v>
      </c>
      <c r="C7" s="717"/>
      <c r="D7" s="716" t="s">
        <v>223</v>
      </c>
      <c r="E7" s="717"/>
      <c r="F7" s="38"/>
      <c r="G7" s="108" t="s">
        <v>576</v>
      </c>
      <c r="H7" s="732"/>
      <c r="I7" s="672" t="s">
        <v>144</v>
      </c>
      <c r="J7" s="673"/>
      <c r="K7" s="674"/>
      <c r="L7" s="3"/>
      <c r="X7" s="743" t="s">
        <v>45</v>
      </c>
      <c r="Y7" s="744"/>
      <c r="Z7" s="23"/>
      <c r="AA7" s="23"/>
      <c r="AB7" s="738"/>
      <c r="AC7" s="738"/>
      <c r="AD7" s="740"/>
      <c r="AG7" s="31"/>
      <c r="AH7" s="31"/>
      <c r="AI7" s="31"/>
      <c r="AJ7" s="31"/>
      <c r="AK7" s="32"/>
      <c r="AL7" s="32"/>
      <c r="AM7" s="31"/>
    </row>
    <row r="8" spans="1:40" ht="14.25" customHeight="1" thickBot="1">
      <c r="B8" s="719" t="s">
        <v>6</v>
      </c>
      <c r="C8" s="719"/>
      <c r="D8" s="719" t="s">
        <v>54</v>
      </c>
      <c r="E8" s="719"/>
      <c r="F8" s="38"/>
      <c r="G8" s="108" t="s">
        <v>576</v>
      </c>
      <c r="H8" s="732"/>
      <c r="I8" s="675"/>
      <c r="J8" s="676"/>
      <c r="K8" s="677"/>
      <c r="L8" s="3"/>
      <c r="AG8" s="33"/>
      <c r="AH8" s="33"/>
      <c r="AI8" s="33"/>
      <c r="AJ8" s="33"/>
      <c r="AK8" s="33"/>
      <c r="AL8" s="33"/>
      <c r="AM8" s="31"/>
    </row>
    <row r="9" spans="1:40" ht="14.25" customHeight="1" thickBot="1">
      <c r="B9" s="718" t="s">
        <v>99</v>
      </c>
      <c r="C9" s="718"/>
      <c r="D9" s="718" t="s">
        <v>265</v>
      </c>
      <c r="E9" s="718"/>
      <c r="F9" s="39"/>
      <c r="G9" s="108" t="s">
        <v>576</v>
      </c>
      <c r="H9" s="733"/>
      <c r="I9" s="678"/>
      <c r="J9" s="679"/>
      <c r="K9" s="680"/>
      <c r="L9" s="3"/>
    </row>
    <row r="10" spans="1:40" ht="14.25" customHeight="1" thickTop="1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X10" s="745" t="s">
        <v>46</v>
      </c>
      <c r="Y10" s="746"/>
      <c r="Z10" s="746"/>
      <c r="AA10" s="747"/>
    </row>
    <row r="11" spans="1:40" ht="14.25" thickTop="1" thickBot="1">
      <c r="A11" s="1"/>
      <c r="B11" s="720" t="s">
        <v>8</v>
      </c>
      <c r="C11" s="721"/>
      <c r="D11" s="704" t="s">
        <v>9</v>
      </c>
      <c r="E11" s="722"/>
      <c r="F11" s="704" t="s">
        <v>10</v>
      </c>
      <c r="G11" s="705"/>
      <c r="H11" s="5" t="s">
        <v>11</v>
      </c>
      <c r="I11" s="6"/>
      <c r="J11" s="6"/>
      <c r="K11" s="6"/>
      <c r="L11" s="6"/>
      <c r="X11" s="748"/>
      <c r="Y11" s="749"/>
      <c r="Z11" s="749"/>
      <c r="AA11" s="750"/>
    </row>
    <row r="12" spans="1:40" ht="13.5" thickBot="1">
      <c r="A12" s="1"/>
      <c r="B12" s="706"/>
      <c r="C12" s="707"/>
      <c r="D12" s="706"/>
      <c r="E12" s="707"/>
      <c r="F12" s="706"/>
      <c r="G12" s="708"/>
      <c r="H12" s="1"/>
      <c r="I12" s="7"/>
      <c r="J12" s="7"/>
      <c r="K12" s="7"/>
      <c r="L12" s="7"/>
      <c r="X12" s="22"/>
      <c r="Y12" s="19"/>
      <c r="Z12" s="19"/>
      <c r="AA12" s="24"/>
    </row>
    <row r="13" spans="1:40" ht="14.25" thickTop="1" thickBot="1">
      <c r="A13" s="1"/>
      <c r="B13" s="6"/>
      <c r="C13" s="6"/>
      <c r="D13" s="6"/>
      <c r="E13" s="6"/>
      <c r="F13" s="6"/>
      <c r="G13" s="6"/>
      <c r="H13" s="1"/>
      <c r="I13" s="7"/>
      <c r="J13" s="7"/>
      <c r="K13" s="7"/>
      <c r="L13" s="7"/>
      <c r="X13" s="22" t="s">
        <v>3</v>
      </c>
      <c r="Y13" s="19"/>
      <c r="Z13" s="19"/>
      <c r="AA13" s="24"/>
    </row>
    <row r="14" spans="1:40" ht="12" customHeight="1" thickTop="1" thickBot="1">
      <c r="A14" s="1">
        <v>1</v>
      </c>
      <c r="B14" s="709" t="s">
        <v>12</v>
      </c>
      <c r="C14" s="710"/>
      <c r="D14" s="710"/>
      <c r="E14" s="710"/>
      <c r="F14" s="710"/>
      <c r="G14" s="711"/>
      <c r="H14" s="1"/>
      <c r="I14" s="7"/>
      <c r="J14" s="7"/>
      <c r="K14" s="7"/>
      <c r="L14" s="7"/>
      <c r="X14" s="22" t="s">
        <v>47</v>
      </c>
      <c r="Y14" s="19"/>
      <c r="Z14" s="19"/>
      <c r="AA14" s="24"/>
    </row>
    <row r="15" spans="1:40" ht="12" customHeight="1" thickBot="1">
      <c r="A15" s="1"/>
      <c r="B15" s="712" t="s">
        <v>380</v>
      </c>
      <c r="C15" s="713"/>
      <c r="D15" s="714" t="s">
        <v>381</v>
      </c>
      <c r="E15" s="715"/>
      <c r="F15" s="62"/>
      <c r="G15" s="114" t="s">
        <v>576</v>
      </c>
      <c r="H15" s="1"/>
      <c r="I15" s="7"/>
      <c r="J15" s="7"/>
      <c r="K15" s="7"/>
      <c r="L15" s="7"/>
      <c r="X15" s="751" t="s">
        <v>45</v>
      </c>
      <c r="Y15" s="752"/>
      <c r="Z15" s="23"/>
      <c r="AA15" s="25"/>
    </row>
    <row r="16" spans="1:40" ht="12" customHeight="1" thickTop="1">
      <c r="A16" s="1"/>
      <c r="B16" s="681"/>
      <c r="C16" s="682"/>
      <c r="D16" s="683"/>
      <c r="E16" s="682"/>
      <c r="F16" s="100"/>
      <c r="G16" s="113" t="s">
        <v>4</v>
      </c>
      <c r="H16" s="1"/>
      <c r="I16" s="7"/>
      <c r="J16" s="7"/>
      <c r="K16" s="7"/>
      <c r="L16" s="7"/>
    </row>
    <row r="17" spans="1:31" ht="12" customHeight="1" thickBot="1">
      <c r="A17" s="1"/>
      <c r="B17" s="657"/>
      <c r="C17" s="658"/>
      <c r="D17" s="659"/>
      <c r="E17" s="658"/>
      <c r="F17" s="87"/>
      <c r="G17" s="88" t="s">
        <v>4</v>
      </c>
      <c r="H17" s="1"/>
      <c r="I17" s="7"/>
      <c r="J17" s="7"/>
      <c r="K17" s="7"/>
      <c r="L17" s="7"/>
      <c r="X17" t="s">
        <v>48</v>
      </c>
    </row>
    <row r="18" spans="1:31" ht="12" customHeight="1" thickTop="1">
      <c r="A18" s="1"/>
      <c r="B18" s="8"/>
      <c r="C18" s="8"/>
      <c r="D18" s="8"/>
      <c r="E18" s="8"/>
      <c r="F18" s="9"/>
      <c r="G18" s="9"/>
      <c r="H18" s="1"/>
      <c r="I18" s="7"/>
      <c r="J18" s="7"/>
      <c r="K18" s="7"/>
      <c r="L18" s="7"/>
      <c r="W18" s="91"/>
      <c r="X18" s="755" t="str">
        <f>CONCATENATE(H22,AE19,H25)</f>
        <v>МНПП «Уфа-Западное направление». Строительство обхода г. Пенза. 2-й этап. Строительство ЛПДС «Пенза»
Здание магистральной насосной</v>
      </c>
      <c r="Y18" s="756"/>
      <c r="Z18" s="756"/>
      <c r="AA18" s="756"/>
      <c r="AB18" s="756"/>
      <c r="AC18" s="757"/>
      <c r="AD18" s="89"/>
    </row>
    <row r="19" spans="1:31" ht="14.25" customHeight="1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7"/>
      <c r="W19" s="91"/>
      <c r="X19" s="758"/>
      <c r="Y19" s="759"/>
      <c r="Z19" s="759"/>
      <c r="AA19" s="759"/>
      <c r="AB19" s="759"/>
      <c r="AC19" s="760"/>
      <c r="AD19" s="90"/>
      <c r="AE19" s="75" t="s">
        <v>23</v>
      </c>
    </row>
    <row r="20" spans="1:31" ht="14.25" customHeight="1" thickTop="1">
      <c r="B20" s="54"/>
      <c r="C20" s="53"/>
      <c r="D20" s="54"/>
      <c r="E20" s="55"/>
      <c r="F20" s="54"/>
      <c r="G20" s="56"/>
      <c r="H20" s="684" t="s">
        <v>558</v>
      </c>
      <c r="I20" s="685"/>
      <c r="J20" s="685"/>
      <c r="K20" s="686"/>
      <c r="L20" s="7"/>
      <c r="W20" s="91"/>
      <c r="X20" s="758"/>
      <c r="Y20" s="759"/>
      <c r="Z20" s="759"/>
      <c r="AA20" s="759"/>
      <c r="AB20" s="759"/>
      <c r="AC20" s="760"/>
      <c r="AD20" s="90"/>
    </row>
    <row r="21" spans="1:31" ht="14.25" customHeight="1" thickBot="1">
      <c r="B21" s="78"/>
      <c r="C21" s="77"/>
      <c r="D21" s="78"/>
      <c r="E21" s="79"/>
      <c r="F21" s="78"/>
      <c r="G21" s="80"/>
      <c r="H21" s="687"/>
      <c r="I21" s="688"/>
      <c r="J21" s="688"/>
      <c r="K21" s="689"/>
      <c r="L21" s="7"/>
      <c r="W21" s="91"/>
      <c r="X21" s="758"/>
      <c r="Y21" s="759"/>
      <c r="Z21" s="759"/>
      <c r="AA21" s="759"/>
      <c r="AB21" s="759"/>
      <c r="AC21" s="760"/>
      <c r="AD21" s="90"/>
    </row>
    <row r="22" spans="1:31" ht="14.25" customHeight="1" thickTop="1">
      <c r="B22" s="58"/>
      <c r="C22" s="57"/>
      <c r="D22" s="58"/>
      <c r="E22" s="59"/>
      <c r="F22" s="58"/>
      <c r="G22" s="110"/>
      <c r="H22" s="690" t="s">
        <v>559</v>
      </c>
      <c r="I22" s="691"/>
      <c r="J22" s="691"/>
      <c r="K22" s="692"/>
      <c r="L22" s="7"/>
      <c r="N22" s="52"/>
      <c r="O22" s="53"/>
      <c r="P22" s="54"/>
      <c r="Q22" s="55"/>
      <c r="R22" s="54"/>
      <c r="S22" s="68"/>
      <c r="W22" s="91"/>
      <c r="X22" s="761"/>
      <c r="Y22" s="762"/>
      <c r="Z22" s="762"/>
      <c r="AA22" s="762"/>
      <c r="AB22" s="762"/>
      <c r="AC22" s="763"/>
      <c r="AD22" s="90"/>
    </row>
    <row r="23" spans="1:31" ht="14.25" customHeight="1">
      <c r="B23" s="58">
        <v>13</v>
      </c>
      <c r="C23" s="57" t="s">
        <v>264</v>
      </c>
      <c r="D23" s="58" t="s">
        <v>577</v>
      </c>
      <c r="E23" s="59" t="s">
        <v>578</v>
      </c>
      <c r="F23" s="58"/>
      <c r="G23" s="110" t="s">
        <v>576</v>
      </c>
      <c r="H23" s="693"/>
      <c r="I23" s="691"/>
      <c r="J23" s="691"/>
      <c r="K23" s="692"/>
      <c r="L23" s="7"/>
      <c r="N23" s="69"/>
      <c r="O23" s="70"/>
      <c r="P23" s="71"/>
      <c r="Q23" s="72"/>
      <c r="R23" s="71"/>
      <c r="S23" s="73"/>
      <c r="X23" s="92"/>
    </row>
    <row r="24" spans="1:31" ht="14.25" customHeight="1" thickBot="1">
      <c r="B24" s="50" t="s">
        <v>94</v>
      </c>
      <c r="C24" s="49" t="s">
        <v>95</v>
      </c>
      <c r="D24" s="50" t="s">
        <v>93</v>
      </c>
      <c r="E24" s="51" t="s">
        <v>96</v>
      </c>
      <c r="F24" s="50" t="s">
        <v>97</v>
      </c>
      <c r="G24" s="50" t="s">
        <v>98</v>
      </c>
      <c r="H24" s="694"/>
      <c r="I24" s="695"/>
      <c r="J24" s="695"/>
      <c r="K24" s="696"/>
      <c r="L24" s="7"/>
      <c r="N24" s="48" t="s">
        <v>94</v>
      </c>
      <c r="O24" s="49" t="s">
        <v>95</v>
      </c>
      <c r="P24" s="50" t="s">
        <v>93</v>
      </c>
      <c r="Q24" s="51" t="s">
        <v>96</v>
      </c>
      <c r="R24" s="50" t="s">
        <v>97</v>
      </c>
      <c r="S24" s="74" t="s">
        <v>98</v>
      </c>
    </row>
    <row r="25" spans="1:31" ht="14.25" customHeight="1" thickBot="1">
      <c r="B25" s="697" t="s">
        <v>5</v>
      </c>
      <c r="C25" s="698"/>
      <c r="D25" s="699" t="s">
        <v>222</v>
      </c>
      <c r="E25" s="700"/>
      <c r="F25" s="82"/>
      <c r="G25" s="109" t="s">
        <v>576</v>
      </c>
      <c r="H25" s="701" t="s">
        <v>224</v>
      </c>
      <c r="I25" s="41" t="s">
        <v>0</v>
      </c>
      <c r="J25" s="41" t="s">
        <v>93</v>
      </c>
      <c r="K25" s="41" t="s">
        <v>1</v>
      </c>
      <c r="L25" s="7"/>
    </row>
    <row r="26" spans="1:31" ht="14.25" customHeight="1" thickBot="1">
      <c r="B26" s="666" t="s">
        <v>3</v>
      </c>
      <c r="C26" s="667"/>
      <c r="D26" s="666" t="s">
        <v>222</v>
      </c>
      <c r="E26" s="668"/>
      <c r="F26" s="46"/>
      <c r="G26" s="110" t="s">
        <v>576</v>
      </c>
      <c r="H26" s="702"/>
      <c r="I26" s="653" t="s">
        <v>2</v>
      </c>
      <c r="J26" s="653">
        <v>1</v>
      </c>
      <c r="K26" s="653">
        <v>3</v>
      </c>
      <c r="L26" s="7"/>
      <c r="X26" t="s">
        <v>26</v>
      </c>
    </row>
    <row r="27" spans="1:31" ht="14.25" customHeight="1" thickBot="1">
      <c r="B27" s="666" t="s">
        <v>22</v>
      </c>
      <c r="C27" s="667"/>
      <c r="D27" s="666" t="s">
        <v>223</v>
      </c>
      <c r="E27" s="668"/>
      <c r="F27" s="46"/>
      <c r="G27" s="110" t="s">
        <v>576</v>
      </c>
      <c r="H27" s="703"/>
      <c r="I27" s="653"/>
      <c r="J27" s="653"/>
      <c r="K27" s="653"/>
      <c r="L27" s="7"/>
      <c r="X27" s="764" t="s">
        <v>27</v>
      </c>
      <c r="Y27" s="765"/>
      <c r="Z27" s="765"/>
      <c r="AA27" s="765"/>
      <c r="AB27" s="765"/>
      <c r="AC27" s="766"/>
    </row>
    <row r="28" spans="1:31" ht="14.25" customHeight="1">
      <c r="B28" s="666" t="s">
        <v>6</v>
      </c>
      <c r="C28" s="667"/>
      <c r="D28" s="666" t="s">
        <v>54</v>
      </c>
      <c r="E28" s="668"/>
      <c r="F28" s="46"/>
      <c r="G28" s="110" t="s">
        <v>576</v>
      </c>
      <c r="H28" s="669" t="s">
        <v>143</v>
      </c>
      <c r="I28" s="672" t="s">
        <v>101</v>
      </c>
      <c r="J28" s="673"/>
      <c r="K28" s="674"/>
      <c r="L28" s="7"/>
      <c r="X28" s="767"/>
      <c r="Y28" s="768"/>
      <c r="Z28" s="768"/>
      <c r="AA28" s="768"/>
      <c r="AB28" s="768"/>
      <c r="AC28" s="769"/>
    </row>
    <row r="29" spans="1:31" ht="14.25" customHeight="1">
      <c r="B29" s="666" t="s">
        <v>99</v>
      </c>
      <c r="C29" s="667"/>
      <c r="D29" s="666" t="s">
        <v>265</v>
      </c>
      <c r="E29" s="668"/>
      <c r="F29" s="46"/>
      <c r="G29" s="110" t="s">
        <v>576</v>
      </c>
      <c r="H29" s="670"/>
      <c r="I29" s="675"/>
      <c r="J29" s="676"/>
      <c r="K29" s="677"/>
      <c r="L29" s="7"/>
      <c r="X29" s="767"/>
      <c r="Y29" s="768"/>
      <c r="Z29" s="768"/>
      <c r="AA29" s="768"/>
      <c r="AB29" s="768"/>
      <c r="AC29" s="769"/>
    </row>
    <row r="30" spans="1:31" ht="14.25" customHeight="1" thickBot="1">
      <c r="B30" s="654"/>
      <c r="C30" s="655"/>
      <c r="D30" s="654"/>
      <c r="E30" s="656"/>
      <c r="F30" s="47"/>
      <c r="G30" s="111" t="s">
        <v>4</v>
      </c>
      <c r="H30" s="671"/>
      <c r="I30" s="678"/>
      <c r="J30" s="679"/>
      <c r="K30" s="680"/>
      <c r="L30" s="7"/>
      <c r="X30" s="767"/>
      <c r="Y30" s="768"/>
      <c r="Z30" s="768"/>
      <c r="AA30" s="768"/>
      <c r="AB30" s="768"/>
      <c r="AC30" s="769"/>
    </row>
    <row r="31" spans="1:31" ht="14.25" customHeight="1" thickTop="1">
      <c r="A31" s="1"/>
      <c r="B31" s="1"/>
      <c r="C31" s="1"/>
      <c r="D31" s="1"/>
      <c r="E31" s="1"/>
      <c r="F31" s="1"/>
      <c r="G31" s="1"/>
      <c r="H31" s="1"/>
      <c r="I31" s="1"/>
      <c r="J31" s="1"/>
      <c r="K31" s="85"/>
      <c r="L31" s="7"/>
      <c r="N31" s="16" t="s">
        <v>55</v>
      </c>
      <c r="O31" s="9"/>
      <c r="P31" s="9"/>
      <c r="Q31" s="9"/>
      <c r="R31" s="9"/>
      <c r="X31" s="767"/>
      <c r="Y31" s="768"/>
      <c r="Z31" s="768"/>
      <c r="AA31" s="768"/>
      <c r="AB31" s="768"/>
      <c r="AC31" s="769"/>
    </row>
    <row r="32" spans="1:31" ht="14.25" customHeight="1">
      <c r="A32" s="1"/>
      <c r="B32" s="64" t="s">
        <v>20</v>
      </c>
      <c r="C32" s="63"/>
      <c r="D32" s="63" t="s">
        <v>379</v>
      </c>
      <c r="E32" s="63"/>
      <c r="F32" s="63"/>
      <c r="G32" s="64" t="s">
        <v>576</v>
      </c>
      <c r="H32" s="1"/>
      <c r="I32" s="1"/>
      <c r="J32" s="1"/>
      <c r="K32" s="1"/>
      <c r="L32" s="7"/>
      <c r="N32" s="60" t="s">
        <v>56</v>
      </c>
      <c r="O32" s="61"/>
      <c r="P32" s="61"/>
      <c r="Q32" s="61"/>
      <c r="R32" s="61" t="s">
        <v>24</v>
      </c>
      <c r="X32" s="767"/>
      <c r="Y32" s="768"/>
      <c r="Z32" s="768"/>
      <c r="AA32" s="768"/>
      <c r="AB32" s="768"/>
      <c r="AC32" s="769"/>
    </row>
    <row r="33" spans="1:29">
      <c r="A33" s="1"/>
      <c r="B33" s="8"/>
      <c r="C33" s="8"/>
      <c r="D33" s="8"/>
      <c r="E33" s="8"/>
      <c r="F33" s="9"/>
      <c r="G33" s="9"/>
      <c r="H33" s="1"/>
      <c r="I33" s="7"/>
      <c r="J33" s="7"/>
      <c r="K33" s="7"/>
      <c r="L33" s="7"/>
      <c r="N33" s="60" t="s">
        <v>21</v>
      </c>
      <c r="O33" s="61"/>
      <c r="P33" s="61"/>
      <c r="Q33" s="61"/>
      <c r="R33" s="61"/>
      <c r="X33" s="767"/>
      <c r="Y33" s="768"/>
      <c r="Z33" s="768"/>
      <c r="AA33" s="768"/>
      <c r="AB33" s="768"/>
      <c r="AC33" s="769"/>
    </row>
    <row r="34" spans="1:29" ht="13.5" thickBot="1">
      <c r="A34" s="18" t="s">
        <v>13</v>
      </c>
      <c r="B34" s="8"/>
      <c r="C34" s="8"/>
      <c r="D34" s="8"/>
      <c r="E34" s="8"/>
      <c r="F34" s="9"/>
      <c r="G34" s="9"/>
      <c r="H34" s="1"/>
      <c r="I34" s="7"/>
      <c r="J34" s="7"/>
      <c r="K34" s="7"/>
      <c r="X34" s="770"/>
      <c r="Y34" s="771"/>
      <c r="Z34" s="771"/>
      <c r="AA34" s="771"/>
      <c r="AB34" s="771"/>
      <c r="AC34" s="772"/>
    </row>
    <row r="35" spans="1:29" ht="12" customHeight="1">
      <c r="A35" s="1"/>
      <c r="B35" s="8"/>
      <c r="C35" s="8"/>
      <c r="D35" s="8"/>
      <c r="E35" s="8"/>
      <c r="F35" s="9"/>
      <c r="G35" s="9"/>
      <c r="H35" s="1"/>
      <c r="I35" s="7"/>
      <c r="J35" s="7"/>
      <c r="K35" s="7">
        <v>45</v>
      </c>
      <c r="L35" s="741">
        <v>45</v>
      </c>
    </row>
    <row r="36" spans="1:29" ht="13.5" customHeight="1" thickBot="1">
      <c r="A36" s="1"/>
      <c r="B36" s="1"/>
      <c r="C36" s="1"/>
      <c r="D36" s="1"/>
      <c r="E36" s="1"/>
      <c r="F36" s="1"/>
      <c r="G36" s="1"/>
      <c r="H36" s="1"/>
      <c r="I36" s="7"/>
      <c r="J36" s="7"/>
      <c r="K36" s="7"/>
      <c r="L36" s="742"/>
    </row>
    <row r="37" spans="1:29">
      <c r="A37" s="14"/>
      <c r="B37" s="10"/>
      <c r="C37" s="10"/>
      <c r="D37" s="10"/>
      <c r="E37" s="10"/>
      <c r="F37" s="10"/>
      <c r="G37" s="10"/>
      <c r="H37" s="1"/>
      <c r="I37" s="1"/>
      <c r="J37" s="1"/>
      <c r="K37" s="1"/>
    </row>
    <row r="38" spans="1:29">
      <c r="A38" s="11" t="s">
        <v>14</v>
      </c>
      <c r="B38" s="84" t="s">
        <v>94</v>
      </c>
      <c r="C38" s="12" t="s">
        <v>15</v>
      </c>
      <c r="D38" s="12" t="s">
        <v>93</v>
      </c>
      <c r="E38" s="12" t="s">
        <v>96</v>
      </c>
      <c r="F38" s="12" t="s">
        <v>97</v>
      </c>
      <c r="G38" s="12" t="s">
        <v>98</v>
      </c>
      <c r="H38" s="13" t="s">
        <v>16</v>
      </c>
      <c r="I38" s="1"/>
      <c r="J38" s="1"/>
      <c r="K38" s="1"/>
      <c r="L38">
        <v>1</v>
      </c>
      <c r="N38" s="660"/>
      <c r="O38" s="661"/>
    </row>
    <row r="39" spans="1:29">
      <c r="A39">
        <v>2</v>
      </c>
      <c r="B39">
        <v>13</v>
      </c>
      <c r="C39" t="s">
        <v>264</v>
      </c>
      <c r="D39" t="s">
        <v>577</v>
      </c>
      <c r="E39" t="s">
        <v>578</v>
      </c>
      <c r="G39" t="s">
        <v>576</v>
      </c>
      <c r="H39" s="83" t="s">
        <v>17</v>
      </c>
      <c r="I39" s="1"/>
      <c r="J39" s="1"/>
      <c r="K39" s="1"/>
      <c r="N39" s="662"/>
      <c r="O39" s="663"/>
    </row>
    <row r="40" spans="1:29">
      <c r="A40">
        <v>3</v>
      </c>
      <c r="B40">
        <v>13</v>
      </c>
      <c r="C40" t="s">
        <v>264</v>
      </c>
      <c r="D40" t="s">
        <v>577</v>
      </c>
      <c r="E40" t="s">
        <v>578</v>
      </c>
      <c r="G40" t="s">
        <v>576</v>
      </c>
      <c r="H40" s="96" t="s">
        <v>32</v>
      </c>
      <c r="I40" s="1"/>
      <c r="J40" s="1"/>
      <c r="K40" s="1"/>
      <c r="N40" s="662"/>
      <c r="O40" s="663"/>
    </row>
    <row r="41" spans="1:29" ht="15">
      <c r="A41">
        <v>4</v>
      </c>
      <c r="B41">
        <v>13</v>
      </c>
      <c r="C41" t="s">
        <v>264</v>
      </c>
      <c r="D41" t="s">
        <v>577</v>
      </c>
      <c r="E41" t="s">
        <v>578</v>
      </c>
      <c r="G41" t="s">
        <v>576</v>
      </c>
      <c r="H41" s="97" t="s">
        <v>33</v>
      </c>
      <c r="I41" s="26"/>
      <c r="J41" s="1"/>
      <c r="K41" s="1"/>
      <c r="N41" s="662"/>
      <c r="O41" s="663"/>
    </row>
    <row r="42" spans="1:29" ht="15">
      <c r="A42">
        <v>5</v>
      </c>
      <c r="B42">
        <v>13</v>
      </c>
      <c r="C42" t="s">
        <v>264</v>
      </c>
      <c r="D42" t="s">
        <v>577</v>
      </c>
      <c r="E42" t="s">
        <v>578</v>
      </c>
      <c r="G42" t="s">
        <v>576</v>
      </c>
      <c r="H42" s="1"/>
      <c r="I42" s="27"/>
      <c r="J42" s="1"/>
      <c r="K42" s="1"/>
      <c r="N42" s="662"/>
      <c r="O42" s="663"/>
    </row>
    <row r="43" spans="1:29" ht="15">
      <c r="A43">
        <v>6</v>
      </c>
      <c r="B43">
        <v>13</v>
      </c>
      <c r="C43" t="s">
        <v>264</v>
      </c>
      <c r="D43" t="s">
        <v>577</v>
      </c>
      <c r="E43" t="s">
        <v>578</v>
      </c>
      <c r="G43" t="s">
        <v>576</v>
      </c>
      <c r="H43" s="1"/>
      <c r="I43" s="27"/>
      <c r="J43" s="1"/>
      <c r="K43" s="1"/>
      <c r="N43" s="662"/>
      <c r="O43" s="663"/>
    </row>
    <row r="44" spans="1:29" ht="15">
      <c r="A44">
        <v>7</v>
      </c>
      <c r="B44">
        <v>13</v>
      </c>
      <c r="C44" t="s">
        <v>264</v>
      </c>
      <c r="D44" t="s">
        <v>577</v>
      </c>
      <c r="E44" t="s">
        <v>578</v>
      </c>
      <c r="G44" t="s">
        <v>576</v>
      </c>
      <c r="H44" s="1"/>
      <c r="I44" s="27"/>
      <c r="J44" s="1"/>
      <c r="K44" s="1"/>
      <c r="N44" s="662"/>
      <c r="O44" s="663"/>
    </row>
    <row r="45" spans="1:29" ht="15">
      <c r="A45">
        <v>8</v>
      </c>
      <c r="B45">
        <v>13</v>
      </c>
      <c r="C45" t="s">
        <v>264</v>
      </c>
      <c r="D45" t="s">
        <v>577</v>
      </c>
      <c r="E45" t="s">
        <v>578</v>
      </c>
      <c r="G45" t="s">
        <v>576</v>
      </c>
      <c r="H45" s="1"/>
      <c r="I45" s="27"/>
      <c r="J45" s="1"/>
      <c r="K45" s="1"/>
      <c r="N45" s="662"/>
      <c r="O45" s="663"/>
    </row>
    <row r="46" spans="1:29" ht="16.5" customHeight="1">
      <c r="A46">
        <v>9</v>
      </c>
      <c r="B46">
        <v>13</v>
      </c>
      <c r="C46" t="s">
        <v>264</v>
      </c>
      <c r="D46" t="s">
        <v>577</v>
      </c>
      <c r="E46" t="s">
        <v>578</v>
      </c>
      <c r="G46" t="s">
        <v>576</v>
      </c>
      <c r="H46" s="1"/>
      <c r="I46" s="27"/>
      <c r="J46" s="1"/>
      <c r="K46" s="1"/>
      <c r="N46" s="662"/>
      <c r="O46" s="663"/>
    </row>
    <row r="47" spans="1:29" ht="13.5" customHeight="1">
      <c r="A47">
        <v>10</v>
      </c>
      <c r="B47">
        <v>13</v>
      </c>
      <c r="C47" t="s">
        <v>264</v>
      </c>
      <c r="D47" t="s">
        <v>577</v>
      </c>
      <c r="E47" t="s">
        <v>578</v>
      </c>
      <c r="G47" t="s">
        <v>576</v>
      </c>
      <c r="H47" s="1"/>
      <c r="I47" s="1"/>
      <c r="J47" s="1"/>
      <c r="K47" s="1"/>
      <c r="N47" s="662"/>
      <c r="O47" s="663"/>
    </row>
    <row r="48" spans="1:29" ht="13.5" customHeight="1">
      <c r="A48">
        <v>11</v>
      </c>
      <c r="B48">
        <v>13</v>
      </c>
      <c r="C48" t="s">
        <v>264</v>
      </c>
      <c r="D48" t="s">
        <v>577</v>
      </c>
      <c r="E48" t="s">
        <v>578</v>
      </c>
      <c r="G48" t="s">
        <v>576</v>
      </c>
      <c r="H48" s="1"/>
      <c r="I48" s="1"/>
      <c r="J48" s="1"/>
      <c r="K48" s="1"/>
      <c r="N48" s="662"/>
      <c r="O48" s="663"/>
    </row>
    <row r="49" spans="1:15" ht="13.5" customHeight="1">
      <c r="A49">
        <v>12</v>
      </c>
      <c r="B49">
        <v>13</v>
      </c>
      <c r="C49" t="s">
        <v>264</v>
      </c>
      <c r="D49" t="s">
        <v>577</v>
      </c>
      <c r="E49" t="s">
        <v>578</v>
      </c>
      <c r="G49" t="s">
        <v>576</v>
      </c>
      <c r="H49" s="1"/>
      <c r="I49" s="1"/>
      <c r="J49" s="1"/>
      <c r="K49" s="1"/>
      <c r="N49" s="662"/>
      <c r="O49" s="663"/>
    </row>
    <row r="50" spans="1:15">
      <c r="A50">
        <v>13</v>
      </c>
      <c r="B50">
        <v>13</v>
      </c>
      <c r="C50" t="s">
        <v>264</v>
      </c>
      <c r="D50" t="s">
        <v>577</v>
      </c>
      <c r="E50" t="s">
        <v>578</v>
      </c>
      <c r="G50" t="s">
        <v>576</v>
      </c>
      <c r="H50" s="1"/>
      <c r="I50" s="1"/>
      <c r="J50" s="1"/>
      <c r="K50" s="1"/>
      <c r="N50" s="662"/>
      <c r="O50" s="663"/>
    </row>
    <row r="51" spans="1:15">
      <c r="A51">
        <v>14</v>
      </c>
      <c r="B51">
        <v>13</v>
      </c>
      <c r="C51" t="s">
        <v>264</v>
      </c>
      <c r="D51" t="s">
        <v>577</v>
      </c>
      <c r="E51" t="s">
        <v>578</v>
      </c>
      <c r="G51" t="s">
        <v>576</v>
      </c>
      <c r="H51" s="1"/>
      <c r="I51" s="1"/>
      <c r="J51" s="1"/>
      <c r="K51" s="1"/>
      <c r="N51" s="664"/>
      <c r="O51" s="665"/>
    </row>
    <row r="52" spans="1:15" ht="13.5" customHeight="1">
      <c r="A52">
        <v>15</v>
      </c>
      <c r="B52">
        <v>13</v>
      </c>
      <c r="C52" t="s">
        <v>264</v>
      </c>
      <c r="D52" t="s">
        <v>577</v>
      </c>
      <c r="E52" t="s">
        <v>578</v>
      </c>
      <c r="G52" t="s">
        <v>576</v>
      </c>
      <c r="H52" s="1"/>
      <c r="I52" s="1"/>
      <c r="J52" s="1"/>
      <c r="K52" s="1"/>
    </row>
    <row r="53" spans="1:15">
      <c r="A53">
        <v>16</v>
      </c>
      <c r="B53">
        <v>13</v>
      </c>
      <c r="C53" t="s">
        <v>264</v>
      </c>
      <c r="D53" t="s">
        <v>577</v>
      </c>
      <c r="E53" t="s">
        <v>578</v>
      </c>
      <c r="G53" t="s">
        <v>576</v>
      </c>
      <c r="H53" s="1"/>
      <c r="I53" s="1"/>
      <c r="J53" s="1"/>
      <c r="K53" s="1"/>
    </row>
    <row r="54" spans="1:15">
      <c r="A54">
        <v>17</v>
      </c>
      <c r="B54">
        <v>13</v>
      </c>
      <c r="C54" t="s">
        <v>264</v>
      </c>
      <c r="D54" t="s">
        <v>577</v>
      </c>
      <c r="E54" t="s">
        <v>578</v>
      </c>
      <c r="G54" t="s">
        <v>576</v>
      </c>
      <c r="H54" s="1"/>
      <c r="I54" s="1"/>
      <c r="J54" s="1"/>
      <c r="K54" s="1"/>
    </row>
    <row r="55" spans="1:15">
      <c r="A55">
        <v>18</v>
      </c>
      <c r="B55">
        <v>13</v>
      </c>
      <c r="C55" t="s">
        <v>264</v>
      </c>
      <c r="D55" t="s">
        <v>577</v>
      </c>
      <c r="E55" t="s">
        <v>578</v>
      </c>
      <c r="G55" t="s">
        <v>576</v>
      </c>
      <c r="H55" s="1"/>
      <c r="I55" s="1"/>
      <c r="J55" s="1"/>
      <c r="K55" s="1"/>
    </row>
    <row r="56" spans="1:15">
      <c r="A56">
        <v>19</v>
      </c>
      <c r="B56">
        <v>13</v>
      </c>
      <c r="C56" t="s">
        <v>264</v>
      </c>
      <c r="D56" t="s">
        <v>577</v>
      </c>
      <c r="E56" t="s">
        <v>578</v>
      </c>
      <c r="G56" t="s">
        <v>576</v>
      </c>
      <c r="H56" s="1"/>
      <c r="I56" s="1"/>
      <c r="J56" s="1"/>
      <c r="K56" s="1"/>
    </row>
    <row r="57" spans="1:15">
      <c r="A57">
        <v>20</v>
      </c>
      <c r="B57">
        <v>13</v>
      </c>
      <c r="C57" t="s">
        <v>264</v>
      </c>
      <c r="D57" t="s">
        <v>577</v>
      </c>
      <c r="E57" t="s">
        <v>578</v>
      </c>
      <c r="G57" t="s">
        <v>576</v>
      </c>
      <c r="H57" s="1"/>
      <c r="I57" s="1"/>
      <c r="J57" s="1"/>
      <c r="K57" s="1"/>
    </row>
    <row r="58" spans="1:15">
      <c r="A58">
        <v>21</v>
      </c>
      <c r="B58">
        <v>13</v>
      </c>
      <c r="C58" t="s">
        <v>264</v>
      </c>
      <c r="D58" t="s">
        <v>577</v>
      </c>
      <c r="E58" t="s">
        <v>578</v>
      </c>
      <c r="G58" t="s">
        <v>576</v>
      </c>
      <c r="H58" s="1"/>
      <c r="I58" s="1"/>
      <c r="J58" s="1"/>
      <c r="K58" s="1"/>
    </row>
    <row r="59" spans="1:15">
      <c r="A59">
        <v>22</v>
      </c>
      <c r="B59">
        <v>13</v>
      </c>
      <c r="C59" t="s">
        <v>264</v>
      </c>
      <c r="D59" t="s">
        <v>577</v>
      </c>
      <c r="E59" t="s">
        <v>578</v>
      </c>
      <c r="G59" t="s">
        <v>576</v>
      </c>
      <c r="H59" s="1"/>
      <c r="I59" s="1"/>
      <c r="J59" s="1"/>
      <c r="K59" s="1"/>
    </row>
    <row r="60" spans="1:15">
      <c r="A60">
        <v>23</v>
      </c>
      <c r="B60">
        <v>13</v>
      </c>
      <c r="C60" t="s">
        <v>264</v>
      </c>
      <c r="D60" t="s">
        <v>577</v>
      </c>
      <c r="E60" t="s">
        <v>578</v>
      </c>
      <c r="G60" t="s">
        <v>576</v>
      </c>
      <c r="H60" s="1"/>
      <c r="I60" s="1"/>
      <c r="J60" s="1"/>
      <c r="K60" s="1"/>
    </row>
    <row r="61" spans="1:15">
      <c r="A61">
        <v>24</v>
      </c>
      <c r="B61">
        <v>13</v>
      </c>
      <c r="C61" t="s">
        <v>264</v>
      </c>
      <c r="D61" t="s">
        <v>577</v>
      </c>
      <c r="E61" t="s">
        <v>578</v>
      </c>
      <c r="G61" t="s">
        <v>576</v>
      </c>
      <c r="H61" s="1"/>
      <c r="I61" s="1"/>
      <c r="J61" s="1"/>
      <c r="K61" s="1"/>
    </row>
    <row r="62" spans="1:15">
      <c r="A62">
        <v>25</v>
      </c>
      <c r="B62">
        <v>13</v>
      </c>
      <c r="C62" t="s">
        <v>264</v>
      </c>
      <c r="D62" t="s">
        <v>577</v>
      </c>
      <c r="E62" t="s">
        <v>578</v>
      </c>
      <c r="G62" t="s">
        <v>576</v>
      </c>
      <c r="H62" s="1"/>
      <c r="I62" s="1"/>
      <c r="J62" s="1"/>
      <c r="K62" s="1"/>
    </row>
    <row r="63" spans="1:15">
      <c r="A63">
        <v>26</v>
      </c>
      <c r="B63">
        <v>13</v>
      </c>
      <c r="C63" t="s">
        <v>264</v>
      </c>
      <c r="D63" t="s">
        <v>577</v>
      </c>
      <c r="E63" t="s">
        <v>578</v>
      </c>
      <c r="G63" t="s">
        <v>576</v>
      </c>
      <c r="H63" s="1"/>
      <c r="I63" s="1"/>
      <c r="J63" s="1"/>
      <c r="K63" s="1"/>
    </row>
    <row r="64" spans="1:15">
      <c r="A64">
        <v>27</v>
      </c>
      <c r="B64">
        <v>13</v>
      </c>
      <c r="C64" t="s">
        <v>264</v>
      </c>
      <c r="D64" t="s">
        <v>577</v>
      </c>
      <c r="E64" t="s">
        <v>578</v>
      </c>
      <c r="G64" t="s">
        <v>576</v>
      </c>
      <c r="H64" s="1"/>
      <c r="I64" s="1"/>
      <c r="J64" s="1"/>
      <c r="K64" s="1"/>
    </row>
    <row r="65" spans="1:11">
      <c r="A65">
        <v>28</v>
      </c>
      <c r="B65">
        <v>13</v>
      </c>
      <c r="C65" t="s">
        <v>264</v>
      </c>
      <c r="D65" t="s">
        <v>577</v>
      </c>
      <c r="E65" t="s">
        <v>578</v>
      </c>
      <c r="G65" t="s">
        <v>576</v>
      </c>
      <c r="H65" s="1"/>
      <c r="I65" s="1"/>
      <c r="J65" s="1"/>
      <c r="K65" s="1"/>
    </row>
    <row r="66" spans="1:11">
      <c r="A66">
        <v>29</v>
      </c>
      <c r="B66">
        <v>13</v>
      </c>
      <c r="C66" t="s">
        <v>264</v>
      </c>
      <c r="D66" t="s">
        <v>577</v>
      </c>
      <c r="E66" t="s">
        <v>578</v>
      </c>
      <c r="G66" t="s">
        <v>576</v>
      </c>
      <c r="H66" s="1"/>
      <c r="I66" s="1"/>
      <c r="J66" s="1"/>
      <c r="K66" s="1"/>
    </row>
    <row r="67" spans="1:11">
      <c r="A67">
        <v>30</v>
      </c>
      <c r="B67">
        <v>13</v>
      </c>
      <c r="C67" t="s">
        <v>264</v>
      </c>
      <c r="D67" t="s">
        <v>577</v>
      </c>
      <c r="E67" t="s">
        <v>578</v>
      </c>
      <c r="G67" t="s">
        <v>576</v>
      </c>
      <c r="H67" s="1"/>
      <c r="I67" s="1"/>
      <c r="J67" s="1"/>
      <c r="K67" s="1"/>
    </row>
    <row r="68" spans="1:11">
      <c r="A68">
        <v>31</v>
      </c>
      <c r="B68">
        <v>13</v>
      </c>
      <c r="C68" t="s">
        <v>264</v>
      </c>
      <c r="D68" t="s">
        <v>577</v>
      </c>
      <c r="E68" t="s">
        <v>578</v>
      </c>
      <c r="G68" t="s">
        <v>576</v>
      </c>
      <c r="H68" s="1"/>
      <c r="I68" s="1"/>
      <c r="J68" s="1"/>
      <c r="K68" s="1"/>
    </row>
    <row r="69" spans="1:11">
      <c r="A69">
        <v>32</v>
      </c>
      <c r="B69">
        <v>13</v>
      </c>
      <c r="C69" t="s">
        <v>264</v>
      </c>
      <c r="D69" t="s">
        <v>577</v>
      </c>
      <c r="E69" t="s">
        <v>578</v>
      </c>
      <c r="G69" t="s">
        <v>576</v>
      </c>
      <c r="H69" s="1"/>
      <c r="I69" s="1"/>
      <c r="J69" s="1"/>
      <c r="K69" s="1"/>
    </row>
    <row r="70" spans="1:11">
      <c r="A70">
        <v>33</v>
      </c>
      <c r="B70">
        <v>13</v>
      </c>
      <c r="C70" t="s">
        <v>264</v>
      </c>
      <c r="D70" t="s">
        <v>577</v>
      </c>
      <c r="E70" t="s">
        <v>578</v>
      </c>
      <c r="G70" t="s">
        <v>576</v>
      </c>
      <c r="H70" s="1"/>
      <c r="I70" s="1"/>
      <c r="J70" s="1"/>
      <c r="K70" s="1"/>
    </row>
    <row r="71" spans="1:11">
      <c r="A71">
        <v>34</v>
      </c>
      <c r="B71">
        <v>13</v>
      </c>
      <c r="C71" t="s">
        <v>264</v>
      </c>
      <c r="D71" t="s">
        <v>577</v>
      </c>
      <c r="E71" t="s">
        <v>578</v>
      </c>
      <c r="G71" t="s">
        <v>576</v>
      </c>
      <c r="H71" s="1"/>
      <c r="I71" s="1"/>
      <c r="J71" s="1"/>
      <c r="K71" s="1"/>
    </row>
    <row r="72" spans="1:11">
      <c r="A72">
        <v>35</v>
      </c>
      <c r="B72">
        <v>13</v>
      </c>
      <c r="C72" t="s">
        <v>264</v>
      </c>
      <c r="D72" t="s">
        <v>577</v>
      </c>
      <c r="E72" t="s">
        <v>578</v>
      </c>
      <c r="G72" t="s">
        <v>576</v>
      </c>
      <c r="H72" s="1"/>
      <c r="I72" s="1"/>
      <c r="J72" s="1"/>
      <c r="K72" s="1"/>
    </row>
    <row r="73" spans="1:11">
      <c r="A73">
        <v>36</v>
      </c>
      <c r="B73">
        <v>13</v>
      </c>
      <c r="C73" t="s">
        <v>264</v>
      </c>
      <c r="D73" t="s">
        <v>577</v>
      </c>
      <c r="E73" t="s">
        <v>578</v>
      </c>
      <c r="G73" t="s">
        <v>576</v>
      </c>
      <c r="H73" s="1"/>
      <c r="I73" s="1"/>
      <c r="J73" s="1"/>
      <c r="K73" s="1"/>
    </row>
    <row r="74" spans="1:11">
      <c r="A74">
        <v>37</v>
      </c>
      <c r="B74">
        <v>13</v>
      </c>
      <c r="C74" t="s">
        <v>264</v>
      </c>
      <c r="D74" t="s">
        <v>577</v>
      </c>
      <c r="E74" t="s">
        <v>578</v>
      </c>
      <c r="G74" t="s">
        <v>576</v>
      </c>
      <c r="H74" s="1"/>
      <c r="I74" s="1"/>
      <c r="J74" s="1"/>
      <c r="K74" s="1"/>
    </row>
    <row r="75" spans="1:11">
      <c r="A75">
        <v>38</v>
      </c>
      <c r="B75">
        <v>13</v>
      </c>
      <c r="C75" t="s">
        <v>264</v>
      </c>
      <c r="D75" t="s">
        <v>577</v>
      </c>
      <c r="E75" t="s">
        <v>578</v>
      </c>
      <c r="G75" t="s">
        <v>576</v>
      </c>
      <c r="H75" s="1"/>
      <c r="I75" s="1"/>
      <c r="J75" s="1"/>
      <c r="K75" s="1"/>
    </row>
    <row r="76" spans="1:11">
      <c r="A76">
        <v>39</v>
      </c>
      <c r="B76">
        <v>13</v>
      </c>
      <c r="C76" t="s">
        <v>264</v>
      </c>
      <c r="D76" t="s">
        <v>577</v>
      </c>
      <c r="E76" t="s">
        <v>578</v>
      </c>
      <c r="G76" t="s">
        <v>576</v>
      </c>
      <c r="H76" s="1"/>
      <c r="I76" s="1"/>
      <c r="J76" s="1"/>
      <c r="K76" s="1"/>
    </row>
    <row r="77" spans="1:11">
      <c r="A77">
        <v>40</v>
      </c>
      <c r="B77">
        <v>13</v>
      </c>
      <c r="C77" t="s">
        <v>264</v>
      </c>
      <c r="D77" t="s">
        <v>577</v>
      </c>
      <c r="E77" t="s">
        <v>578</v>
      </c>
      <c r="G77" t="s">
        <v>576</v>
      </c>
      <c r="H77" s="1"/>
      <c r="I77" s="1"/>
      <c r="J77" s="1"/>
      <c r="K77" s="1"/>
    </row>
    <row r="78" spans="1:11">
      <c r="A78">
        <v>41</v>
      </c>
      <c r="B78">
        <v>13</v>
      </c>
      <c r="C78" t="s">
        <v>264</v>
      </c>
      <c r="D78" t="s">
        <v>577</v>
      </c>
      <c r="E78" t="s">
        <v>578</v>
      </c>
      <c r="G78" t="s">
        <v>576</v>
      </c>
      <c r="H78" s="1"/>
      <c r="I78" s="1"/>
      <c r="J78" s="1"/>
      <c r="K78" s="1"/>
    </row>
    <row r="79" spans="1:11">
      <c r="A79">
        <v>42</v>
      </c>
      <c r="B79">
        <v>13</v>
      </c>
      <c r="C79" t="s">
        <v>264</v>
      </c>
      <c r="D79" t="s">
        <v>577</v>
      </c>
      <c r="E79" t="s">
        <v>578</v>
      </c>
      <c r="G79" t="s">
        <v>576</v>
      </c>
      <c r="H79" s="1"/>
      <c r="I79" s="1"/>
      <c r="J79" s="1"/>
      <c r="K79" s="1"/>
    </row>
    <row r="80" spans="1:11">
      <c r="A80">
        <v>43</v>
      </c>
      <c r="B80">
        <v>13</v>
      </c>
      <c r="C80" t="s">
        <v>264</v>
      </c>
      <c r="D80" t="s">
        <v>577</v>
      </c>
      <c r="E80" t="s">
        <v>578</v>
      </c>
      <c r="G80" t="s">
        <v>576</v>
      </c>
      <c r="H80" s="1"/>
      <c r="I80" s="1"/>
      <c r="J80" s="1"/>
      <c r="K80" s="1"/>
    </row>
    <row r="81" spans="1:11">
      <c r="A81">
        <v>44</v>
      </c>
      <c r="B81">
        <v>13</v>
      </c>
      <c r="C81" t="s">
        <v>264</v>
      </c>
      <c r="D81" t="s">
        <v>577</v>
      </c>
      <c r="E81" t="s">
        <v>578</v>
      </c>
      <c r="G81" t="s">
        <v>576</v>
      </c>
      <c r="H81" s="1"/>
      <c r="I81" s="1"/>
      <c r="J81" s="1"/>
      <c r="K81" s="1"/>
    </row>
    <row r="82" spans="1:11">
      <c r="A82">
        <v>45</v>
      </c>
      <c r="B82">
        <v>13</v>
      </c>
      <c r="C82" t="s">
        <v>264</v>
      </c>
      <c r="D82" t="s">
        <v>577</v>
      </c>
      <c r="E82" t="s">
        <v>578</v>
      </c>
      <c r="G82" t="s">
        <v>576</v>
      </c>
      <c r="H82" s="1"/>
      <c r="I82" s="1"/>
      <c r="J82" s="1"/>
      <c r="K82" s="1"/>
    </row>
    <row r="83" spans="1:11">
      <c r="A83">
        <v>46</v>
      </c>
      <c r="B83">
        <v>13</v>
      </c>
      <c r="C83" t="s">
        <v>264</v>
      </c>
      <c r="D83" t="s">
        <v>577</v>
      </c>
      <c r="E83" t="s">
        <v>578</v>
      </c>
      <c r="G83" t="s">
        <v>576</v>
      </c>
      <c r="H83" s="1"/>
      <c r="I83" s="1"/>
      <c r="J83" s="1"/>
      <c r="K83" s="1"/>
    </row>
    <row r="84" spans="1:11">
      <c r="A84">
        <v>47</v>
      </c>
      <c r="B84">
        <v>13</v>
      </c>
      <c r="C84" t="s">
        <v>264</v>
      </c>
      <c r="D84" t="s">
        <v>577</v>
      </c>
      <c r="E84" t="s">
        <v>578</v>
      </c>
      <c r="G84" t="s">
        <v>576</v>
      </c>
      <c r="H84" s="1"/>
      <c r="I84" s="1"/>
      <c r="J84" s="1"/>
      <c r="K84" s="1"/>
    </row>
    <row r="85" spans="1:11">
      <c r="A85">
        <v>48</v>
      </c>
      <c r="B85">
        <v>13</v>
      </c>
      <c r="C85" t="s">
        <v>264</v>
      </c>
      <c r="D85" t="s">
        <v>577</v>
      </c>
      <c r="E85" t="s">
        <v>578</v>
      </c>
      <c r="G85" t="s">
        <v>576</v>
      </c>
      <c r="H85" s="1"/>
      <c r="I85" s="1"/>
      <c r="J85" s="1"/>
      <c r="K85" s="1"/>
    </row>
    <row r="86" spans="1:11">
      <c r="A86">
        <v>49</v>
      </c>
      <c r="B86">
        <v>13</v>
      </c>
      <c r="C86" t="s">
        <v>264</v>
      </c>
      <c r="D86" t="s">
        <v>577</v>
      </c>
      <c r="E86" t="s">
        <v>578</v>
      </c>
      <c r="G86" t="s">
        <v>576</v>
      </c>
      <c r="H86" s="1"/>
      <c r="I86" s="1"/>
      <c r="J86" s="1"/>
      <c r="K86" s="1"/>
    </row>
    <row r="87" spans="1:11">
      <c r="A87">
        <v>50</v>
      </c>
      <c r="B87">
        <v>13</v>
      </c>
      <c r="C87" t="s">
        <v>264</v>
      </c>
      <c r="D87" t="s">
        <v>577</v>
      </c>
      <c r="E87" t="s">
        <v>578</v>
      </c>
      <c r="G87" t="s">
        <v>576</v>
      </c>
      <c r="H87" s="1"/>
      <c r="I87" s="1"/>
      <c r="J87" s="1"/>
      <c r="K87" s="1"/>
    </row>
    <row r="88" spans="1:11">
      <c r="A88">
        <v>51</v>
      </c>
      <c r="B88">
        <v>13</v>
      </c>
      <c r="C88" t="s">
        <v>264</v>
      </c>
      <c r="D88" t="s">
        <v>577</v>
      </c>
      <c r="E88" t="s">
        <v>578</v>
      </c>
      <c r="G88" t="s">
        <v>576</v>
      </c>
      <c r="H88" s="1"/>
      <c r="I88" s="1"/>
      <c r="J88" s="1"/>
      <c r="K88" s="1"/>
    </row>
    <row r="89" spans="1:11">
      <c r="A89">
        <v>52</v>
      </c>
      <c r="B89">
        <v>13</v>
      </c>
      <c r="C89" t="s">
        <v>264</v>
      </c>
      <c r="D89" t="s">
        <v>577</v>
      </c>
      <c r="E89" t="s">
        <v>578</v>
      </c>
      <c r="G89" t="s">
        <v>576</v>
      </c>
      <c r="H89" s="1"/>
      <c r="I89" s="1"/>
      <c r="J89" s="1"/>
      <c r="K89" s="1"/>
    </row>
    <row r="90" spans="1:11">
      <c r="A90">
        <v>53</v>
      </c>
      <c r="B90">
        <v>13</v>
      </c>
      <c r="C90" t="s">
        <v>264</v>
      </c>
      <c r="D90" t="s">
        <v>577</v>
      </c>
      <c r="E90" t="s">
        <v>578</v>
      </c>
      <c r="G90" t="s">
        <v>576</v>
      </c>
      <c r="H90" s="1"/>
      <c r="I90" s="1"/>
      <c r="J90" s="1"/>
      <c r="K90" s="1"/>
    </row>
    <row r="91" spans="1:11">
      <c r="A91">
        <v>54</v>
      </c>
      <c r="B91">
        <v>13</v>
      </c>
      <c r="C91" t="s">
        <v>264</v>
      </c>
      <c r="D91" t="s">
        <v>577</v>
      </c>
      <c r="E91" t="s">
        <v>578</v>
      </c>
      <c r="G91" t="s">
        <v>576</v>
      </c>
      <c r="H91" s="1"/>
      <c r="I91" s="1"/>
      <c r="J91" s="1"/>
      <c r="K91" s="1"/>
    </row>
    <row r="92" spans="1:11">
      <c r="A92">
        <v>55</v>
      </c>
      <c r="B92">
        <v>13</v>
      </c>
      <c r="C92" t="s">
        <v>264</v>
      </c>
      <c r="D92" t="s">
        <v>577</v>
      </c>
      <c r="E92" t="s">
        <v>578</v>
      </c>
      <c r="G92" t="s">
        <v>576</v>
      </c>
      <c r="H92" s="1"/>
      <c r="I92" s="1"/>
      <c r="J92" s="1"/>
      <c r="K92" s="1"/>
    </row>
    <row r="93" spans="1:11">
      <c r="A93">
        <v>56</v>
      </c>
      <c r="B93">
        <v>13</v>
      </c>
      <c r="C93" t="s">
        <v>264</v>
      </c>
      <c r="D93" t="s">
        <v>577</v>
      </c>
      <c r="E93" t="s">
        <v>578</v>
      </c>
      <c r="G93" t="s">
        <v>576</v>
      </c>
      <c r="H93" s="1"/>
      <c r="I93" s="1"/>
      <c r="J93" s="1"/>
      <c r="K93" s="1"/>
    </row>
    <row r="94" spans="1:11">
      <c r="A94">
        <v>57</v>
      </c>
      <c r="B94">
        <v>13</v>
      </c>
      <c r="C94" t="s">
        <v>264</v>
      </c>
      <c r="D94" t="s">
        <v>577</v>
      </c>
      <c r="E94" t="s">
        <v>578</v>
      </c>
      <c r="G94" t="s">
        <v>576</v>
      </c>
      <c r="H94" s="1"/>
      <c r="I94" s="1"/>
      <c r="J94" s="1"/>
      <c r="K94" s="1"/>
    </row>
    <row r="95" spans="1:11">
      <c r="A95">
        <v>58</v>
      </c>
      <c r="B95">
        <v>13</v>
      </c>
      <c r="C95" t="s">
        <v>264</v>
      </c>
      <c r="D95" t="s">
        <v>577</v>
      </c>
      <c r="E95" t="s">
        <v>578</v>
      </c>
      <c r="G95" t="s">
        <v>576</v>
      </c>
      <c r="H95" s="1"/>
      <c r="I95" s="1"/>
      <c r="J95" s="1"/>
      <c r="K95" s="1"/>
    </row>
    <row r="96" spans="1:11">
      <c r="A96">
        <v>59</v>
      </c>
      <c r="B96">
        <v>13</v>
      </c>
      <c r="C96" t="s">
        <v>264</v>
      </c>
      <c r="D96" t="s">
        <v>577</v>
      </c>
      <c r="E96" t="s">
        <v>578</v>
      </c>
      <c r="G96" t="s">
        <v>576</v>
      </c>
      <c r="H96" s="81"/>
      <c r="I96" s="1"/>
      <c r="J96" s="1"/>
      <c r="K96" s="1"/>
    </row>
    <row r="97" spans="1:11" ht="12.75" customHeight="1">
      <c r="A97">
        <v>60</v>
      </c>
      <c r="B97">
        <v>13</v>
      </c>
      <c r="C97" t="s">
        <v>264</v>
      </c>
      <c r="D97" t="s">
        <v>577</v>
      </c>
      <c r="E97" t="s">
        <v>578</v>
      </c>
      <c r="G97" t="s">
        <v>576</v>
      </c>
      <c r="H97" s="1"/>
      <c r="I97" s="1"/>
      <c r="J97" s="1"/>
      <c r="K97" s="1"/>
    </row>
    <row r="98" spans="1:11" ht="12.75" customHeight="1">
      <c r="A98">
        <v>61</v>
      </c>
      <c r="B98">
        <v>13</v>
      </c>
      <c r="C98" t="s">
        <v>264</v>
      </c>
      <c r="D98" t="s">
        <v>577</v>
      </c>
      <c r="E98" t="s">
        <v>578</v>
      </c>
      <c r="G98" t="s">
        <v>576</v>
      </c>
      <c r="H98" s="1"/>
      <c r="I98" s="1"/>
      <c r="J98" s="1"/>
      <c r="K98" s="1"/>
    </row>
    <row r="99" spans="1:11">
      <c r="A99">
        <v>62</v>
      </c>
      <c r="B99">
        <v>13</v>
      </c>
      <c r="C99" t="s">
        <v>264</v>
      </c>
      <c r="D99" t="s">
        <v>577</v>
      </c>
      <c r="E99" t="s">
        <v>578</v>
      </c>
      <c r="G99" t="s">
        <v>576</v>
      </c>
    </row>
    <row r="110" spans="1:11">
      <c r="H110" s="28"/>
      <c r="I110" s="102" t="s">
        <v>111</v>
      </c>
      <c r="J110" s="102"/>
      <c r="K110" s="102"/>
    </row>
    <row r="111" spans="1:11">
      <c r="H111" s="95" t="s">
        <v>28</v>
      </c>
      <c r="I111" s="102"/>
      <c r="J111" s="102"/>
      <c r="K111" s="102"/>
    </row>
    <row r="112" spans="1:11" ht="25.5">
      <c r="H112" s="95" t="s">
        <v>29</v>
      </c>
      <c r="I112" s="103" t="s">
        <v>112</v>
      </c>
      <c r="J112" s="104" t="s">
        <v>113</v>
      </c>
      <c r="K112" s="104" t="s">
        <v>114</v>
      </c>
    </row>
    <row r="113" spans="8:11">
      <c r="H113" s="95" t="s">
        <v>30</v>
      </c>
      <c r="I113" s="105"/>
      <c r="J113" s="106"/>
      <c r="K113" s="106"/>
    </row>
    <row r="114" spans="8:11">
      <c r="H114" s="95" t="s">
        <v>31</v>
      </c>
      <c r="I114" s="105"/>
      <c r="J114" s="106"/>
      <c r="K114" s="106"/>
    </row>
    <row r="115" spans="8:11">
      <c r="H115" s="98" t="s">
        <v>34</v>
      </c>
      <c r="I115" s="105"/>
      <c r="J115" s="106"/>
      <c r="K115" s="106"/>
    </row>
    <row r="116" spans="8:11">
      <c r="H116" s="98" t="s">
        <v>33</v>
      </c>
      <c r="I116" s="105"/>
      <c r="J116" s="106"/>
      <c r="K116" s="106"/>
    </row>
    <row r="117" spans="8:11">
      <c r="H117" s="28"/>
      <c r="I117" s="105"/>
      <c r="J117" s="106"/>
      <c r="K117" s="106"/>
    </row>
    <row r="118" spans="8:11">
      <c r="H118" s="28"/>
      <c r="I118" s="105"/>
      <c r="J118" s="106"/>
      <c r="K118" s="106"/>
    </row>
    <row r="119" spans="8:11">
      <c r="H119" s="28"/>
      <c r="I119" s="105"/>
      <c r="J119" s="106"/>
      <c r="K119" s="106"/>
    </row>
    <row r="120" spans="8:11">
      <c r="H120" s="28"/>
      <c r="I120" s="105"/>
      <c r="J120" s="106"/>
      <c r="K120" s="106"/>
    </row>
    <row r="121" spans="8:11">
      <c r="H121" s="28"/>
      <c r="I121" s="105"/>
      <c r="J121" s="106"/>
      <c r="K121" s="106"/>
    </row>
    <row r="122" spans="8:11">
      <c r="H122" s="28"/>
      <c r="I122" s="105"/>
      <c r="J122" s="106"/>
      <c r="K122" s="106"/>
    </row>
    <row r="123" spans="8:11">
      <c r="H123" s="28"/>
      <c r="I123" s="105"/>
      <c r="J123" s="106"/>
      <c r="K123" s="106"/>
    </row>
    <row r="124" spans="8:11">
      <c r="H124" s="28"/>
      <c r="I124" s="105"/>
      <c r="J124" s="106"/>
      <c r="K124" s="106"/>
    </row>
    <row r="125" spans="8:11">
      <c r="H125" s="28"/>
      <c r="I125" s="105"/>
      <c r="J125" s="106"/>
      <c r="K125" s="106"/>
    </row>
    <row r="126" spans="8:11">
      <c r="H126" s="28"/>
      <c r="I126" s="105"/>
      <c r="J126" s="106"/>
      <c r="K126" s="106"/>
    </row>
    <row r="127" spans="8:11">
      <c r="H127" s="28"/>
      <c r="I127" s="105"/>
      <c r="J127" s="106"/>
      <c r="K127" s="106"/>
    </row>
    <row r="128" spans="8:11">
      <c r="H128" s="28"/>
      <c r="I128" s="105"/>
      <c r="J128" s="106"/>
      <c r="K128" s="106"/>
    </row>
    <row r="129" spans="8:11">
      <c r="H129" s="28"/>
      <c r="I129" s="105"/>
      <c r="J129" s="106"/>
      <c r="K129" s="106"/>
    </row>
    <row r="130" spans="8:11">
      <c r="H130" s="28"/>
      <c r="I130" s="105"/>
      <c r="J130" s="106"/>
      <c r="K130" s="106"/>
    </row>
    <row r="131" spans="8:11">
      <c r="H131" s="28"/>
      <c r="I131" s="105"/>
      <c r="J131" s="106"/>
      <c r="K131" s="106"/>
    </row>
    <row r="132" spans="8:11">
      <c r="H132" s="28"/>
      <c r="I132" s="105"/>
      <c r="J132" s="106"/>
      <c r="K132" s="106"/>
    </row>
    <row r="133" spans="8:11">
      <c r="H133" s="28"/>
      <c r="I133" s="105"/>
      <c r="J133" s="106"/>
      <c r="K133" s="106"/>
    </row>
    <row r="134" spans="8:11">
      <c r="H134" s="28"/>
      <c r="I134" s="105"/>
      <c r="J134" s="106"/>
      <c r="K134" s="106"/>
    </row>
    <row r="135" spans="8:11">
      <c r="H135" s="28"/>
      <c r="I135" s="105"/>
      <c r="J135" s="106"/>
      <c r="K135" s="106"/>
    </row>
    <row r="136" spans="8:11">
      <c r="H136" s="28"/>
      <c r="I136" s="105"/>
      <c r="J136" s="106"/>
      <c r="K136" s="106"/>
    </row>
    <row r="137" spans="8:11">
      <c r="H137" s="28"/>
      <c r="I137" s="105"/>
      <c r="J137" s="106"/>
      <c r="K137" s="106"/>
    </row>
    <row r="138" spans="8:11">
      <c r="H138" s="28"/>
      <c r="I138" s="105"/>
      <c r="J138" s="106"/>
      <c r="K138" s="106"/>
    </row>
    <row r="139" spans="8:11">
      <c r="H139" s="28"/>
      <c r="I139" s="105"/>
      <c r="J139" s="106"/>
      <c r="K139" s="106"/>
    </row>
    <row r="140" spans="8:11">
      <c r="H140" s="28"/>
      <c r="I140" s="105"/>
      <c r="J140" s="106"/>
      <c r="K140" s="106"/>
    </row>
    <row r="141" spans="8:11">
      <c r="H141" s="28"/>
      <c r="I141" s="102"/>
      <c r="J141" s="107"/>
      <c r="K141" s="107"/>
    </row>
    <row r="142" spans="8:11">
      <c r="H142" s="28"/>
      <c r="I142" s="102"/>
      <c r="J142" s="107"/>
      <c r="K142" s="107"/>
    </row>
    <row r="143" spans="8:11">
      <c r="H143" s="28"/>
      <c r="I143" s="102"/>
      <c r="J143" s="107"/>
      <c r="K143" s="107"/>
    </row>
    <row r="144" spans="8:11">
      <c r="H144" s="28"/>
      <c r="I144" s="102"/>
      <c r="J144" s="107"/>
      <c r="K144" s="107"/>
    </row>
    <row r="145" spans="8:11">
      <c r="H145" s="28"/>
      <c r="I145" s="102"/>
      <c r="J145" s="107"/>
      <c r="K145" s="107"/>
    </row>
    <row r="146" spans="8:11">
      <c r="H146" s="28"/>
      <c r="I146" s="102"/>
      <c r="J146" s="107"/>
      <c r="K146" s="107"/>
    </row>
    <row r="147" spans="8:11">
      <c r="H147" s="28"/>
      <c r="I147" s="102"/>
      <c r="J147" s="107"/>
      <c r="K147" s="107"/>
    </row>
    <row r="148" spans="8:11">
      <c r="H148" s="28"/>
      <c r="I148" s="102"/>
      <c r="J148" s="107"/>
      <c r="K148" s="107"/>
    </row>
    <row r="149" spans="8:11">
      <c r="H149" s="28"/>
      <c r="I149" s="102"/>
      <c r="J149" s="107"/>
      <c r="K149" s="107"/>
    </row>
    <row r="150" spans="8:11">
      <c r="H150" s="28"/>
      <c r="I150" s="102"/>
      <c r="J150" s="107"/>
      <c r="K150" s="107"/>
    </row>
    <row r="151" spans="8:11">
      <c r="H151" s="28"/>
      <c r="I151" s="102"/>
      <c r="J151" s="107"/>
      <c r="K151" s="107"/>
    </row>
    <row r="152" spans="8:11">
      <c r="H152" s="28"/>
      <c r="I152" s="102"/>
      <c r="J152" s="107"/>
      <c r="K152" s="107"/>
    </row>
    <row r="153" spans="8:11">
      <c r="H153" s="28"/>
      <c r="I153" s="102"/>
      <c r="J153" s="107"/>
      <c r="K153" s="107"/>
    </row>
    <row r="154" spans="8:11">
      <c r="H154" s="28"/>
      <c r="I154" s="102"/>
      <c r="J154" s="107"/>
      <c r="K154" s="107"/>
    </row>
    <row r="155" spans="8:11">
      <c r="H155" s="28"/>
      <c r="I155" s="102"/>
      <c r="J155" s="107"/>
      <c r="K155" s="107"/>
    </row>
    <row r="156" spans="8:11">
      <c r="H156" s="28"/>
      <c r="I156" s="102"/>
      <c r="J156" s="107"/>
      <c r="K156" s="107"/>
    </row>
    <row r="157" spans="8:11">
      <c r="H157" s="28"/>
      <c r="I157" s="102"/>
      <c r="J157" s="107"/>
      <c r="K157" s="107"/>
    </row>
    <row r="158" spans="8:11">
      <c r="H158" s="28"/>
      <c r="I158" s="102"/>
      <c r="J158" s="107"/>
      <c r="K158" s="107"/>
    </row>
    <row r="159" spans="8:11">
      <c r="H159" s="28"/>
      <c r="I159" s="102"/>
      <c r="J159" s="107"/>
      <c r="K159" s="107"/>
    </row>
    <row r="160" spans="8:11">
      <c r="H160" s="28"/>
      <c r="I160" s="102"/>
      <c r="J160" s="107"/>
      <c r="K160" s="107"/>
    </row>
    <row r="161" spans="8:11">
      <c r="H161" s="28"/>
      <c r="I161" s="102"/>
      <c r="J161" s="107"/>
      <c r="K161" s="107"/>
    </row>
    <row r="162" spans="8:11">
      <c r="H162" s="28"/>
      <c r="I162" s="102"/>
      <c r="J162" s="107"/>
      <c r="K162" s="107"/>
    </row>
    <row r="163" spans="8:11">
      <c r="I163" s="102"/>
      <c r="J163" s="107"/>
      <c r="K163" s="107"/>
    </row>
    <row r="164" spans="8:11">
      <c r="I164" s="102"/>
      <c r="J164" s="107"/>
      <c r="K164" s="107"/>
    </row>
    <row r="165" spans="8:11">
      <c r="I165" s="102"/>
      <c r="J165" s="107"/>
      <c r="K165" s="107"/>
    </row>
    <row r="166" spans="8:11">
      <c r="I166" s="102"/>
      <c r="J166" s="107"/>
      <c r="K166" s="107"/>
    </row>
    <row r="167" spans="8:11">
      <c r="I167" s="102"/>
      <c r="J167" s="107"/>
      <c r="K167" s="107"/>
    </row>
    <row r="168" spans="8:11">
      <c r="I168" s="102"/>
      <c r="J168" s="107"/>
      <c r="K168" s="107"/>
    </row>
    <row r="169" spans="8:11">
      <c r="I169" s="102"/>
      <c r="J169" s="107"/>
      <c r="K169" s="107"/>
    </row>
    <row r="200" spans="33:40">
      <c r="AG200"/>
      <c r="AH200"/>
      <c r="AI200"/>
      <c r="AJ200"/>
      <c r="AK200"/>
      <c r="AL200"/>
      <c r="AM200"/>
      <c r="AN200"/>
    </row>
    <row r="201" spans="33:40">
      <c r="AG201"/>
      <c r="AH201"/>
      <c r="AI201"/>
      <c r="AJ201"/>
      <c r="AK201"/>
      <c r="AL201"/>
      <c r="AM201"/>
      <c r="AN201"/>
    </row>
    <row r="202" spans="33:40">
      <c r="AG202"/>
      <c r="AH202"/>
      <c r="AI202"/>
      <c r="AJ202"/>
      <c r="AK202"/>
      <c r="AL202"/>
      <c r="AM202"/>
      <c r="AN202"/>
    </row>
    <row r="203" spans="33:40">
      <c r="AG203"/>
      <c r="AH203"/>
      <c r="AI203"/>
      <c r="AJ203"/>
      <c r="AK203"/>
      <c r="AL203"/>
      <c r="AM203"/>
      <c r="AN203"/>
    </row>
    <row r="204" spans="33:40">
      <c r="AG204"/>
      <c r="AH204"/>
      <c r="AI204"/>
      <c r="AJ204"/>
      <c r="AK204"/>
      <c r="AL204"/>
      <c r="AM204"/>
      <c r="AN204"/>
    </row>
    <row r="205" spans="33:40">
      <c r="AG205"/>
      <c r="AH205"/>
      <c r="AI205"/>
      <c r="AJ205"/>
      <c r="AK205"/>
      <c r="AL205"/>
      <c r="AM205"/>
      <c r="AN205"/>
    </row>
    <row r="206" spans="33:40">
      <c r="AG206"/>
      <c r="AH206"/>
      <c r="AI206"/>
      <c r="AJ206"/>
      <c r="AK206"/>
      <c r="AL206"/>
      <c r="AM206"/>
      <c r="AN206"/>
    </row>
    <row r="207" spans="33:40">
      <c r="AG207"/>
      <c r="AH207"/>
      <c r="AI207"/>
      <c r="AJ207"/>
      <c r="AK207"/>
      <c r="AL207"/>
      <c r="AM207"/>
      <c r="AN207"/>
    </row>
    <row r="208" spans="33:40">
      <c r="AG208"/>
      <c r="AH208"/>
      <c r="AI208"/>
      <c r="AJ208"/>
      <c r="AK208"/>
      <c r="AL208"/>
      <c r="AM208"/>
      <c r="AN208"/>
    </row>
    <row r="209" spans="33:40">
      <c r="AG209"/>
      <c r="AH209"/>
      <c r="AI209"/>
      <c r="AJ209"/>
      <c r="AK209"/>
      <c r="AL209"/>
      <c r="AM209"/>
      <c r="AN209"/>
    </row>
    <row r="210" spans="33:40">
      <c r="AG210"/>
      <c r="AH210"/>
      <c r="AI210"/>
      <c r="AJ210"/>
      <c r="AK210"/>
      <c r="AL210"/>
      <c r="AM210"/>
      <c r="AN210"/>
    </row>
    <row r="211" spans="33:40">
      <c r="AG211"/>
      <c r="AH211"/>
      <c r="AI211"/>
      <c r="AJ211"/>
      <c r="AK211"/>
      <c r="AL211"/>
      <c r="AM211"/>
      <c r="AN211"/>
    </row>
    <row r="212" spans="33:40">
      <c r="AG212"/>
      <c r="AH212"/>
      <c r="AI212"/>
      <c r="AJ212"/>
      <c r="AK212"/>
      <c r="AL212"/>
      <c r="AM212"/>
      <c r="AN212"/>
    </row>
    <row r="213" spans="33:40">
      <c r="AG213"/>
      <c r="AH213"/>
      <c r="AI213"/>
      <c r="AJ213"/>
      <c r="AK213"/>
      <c r="AL213"/>
      <c r="AM213"/>
      <c r="AN213"/>
    </row>
    <row r="214" spans="33:40">
      <c r="AG214"/>
      <c r="AH214"/>
      <c r="AI214"/>
      <c r="AJ214"/>
      <c r="AK214"/>
      <c r="AL214"/>
      <c r="AM214"/>
      <c r="AN214"/>
    </row>
    <row r="215" spans="33:40">
      <c r="AG215"/>
      <c r="AH215"/>
      <c r="AI215"/>
      <c r="AJ215"/>
      <c r="AK215"/>
      <c r="AL215"/>
      <c r="AM215"/>
      <c r="AN215"/>
    </row>
    <row r="216" spans="33:40">
      <c r="AG216"/>
      <c r="AH216"/>
      <c r="AI216"/>
      <c r="AJ216"/>
      <c r="AK216"/>
      <c r="AL216"/>
      <c r="AM216"/>
      <c r="AN216"/>
    </row>
    <row r="217" spans="33:40">
      <c r="AG217"/>
      <c r="AH217"/>
      <c r="AI217"/>
      <c r="AJ217"/>
      <c r="AK217"/>
      <c r="AL217"/>
      <c r="AM217"/>
      <c r="AN217"/>
    </row>
    <row r="218" spans="33:40">
      <c r="AG218"/>
      <c r="AH218"/>
      <c r="AI218"/>
      <c r="AJ218"/>
      <c r="AK218"/>
      <c r="AL218"/>
      <c r="AM218"/>
      <c r="AN218"/>
    </row>
    <row r="219" spans="33:40">
      <c r="AG219"/>
      <c r="AH219"/>
      <c r="AI219"/>
      <c r="AJ219"/>
      <c r="AK219"/>
      <c r="AL219"/>
      <c r="AM219"/>
      <c r="AN219"/>
    </row>
    <row r="220" spans="33:40">
      <c r="AG220"/>
      <c r="AH220"/>
      <c r="AI220"/>
      <c r="AJ220"/>
      <c r="AK220"/>
      <c r="AL220"/>
      <c r="AM220"/>
      <c r="AN220"/>
    </row>
    <row r="221" spans="33:40">
      <c r="AG221"/>
      <c r="AH221"/>
      <c r="AI221"/>
      <c r="AJ221"/>
      <c r="AK221"/>
      <c r="AL221"/>
      <c r="AM221"/>
      <c r="AN221"/>
    </row>
    <row r="222" spans="33:40">
      <c r="AG222"/>
      <c r="AH222"/>
      <c r="AI222"/>
      <c r="AJ222"/>
      <c r="AK222"/>
      <c r="AL222"/>
      <c r="AM222"/>
      <c r="AN222"/>
    </row>
    <row r="223" spans="33:40">
      <c r="AG223"/>
      <c r="AH223"/>
      <c r="AI223"/>
      <c r="AJ223"/>
      <c r="AK223"/>
      <c r="AL223"/>
      <c r="AM223"/>
      <c r="AN223"/>
    </row>
    <row r="224" spans="33:40">
      <c r="AG224"/>
      <c r="AH224"/>
      <c r="AI224"/>
      <c r="AJ224"/>
      <c r="AK224"/>
      <c r="AL224"/>
      <c r="AM224"/>
      <c r="AN224"/>
    </row>
    <row r="225" spans="33:40">
      <c r="AG225"/>
      <c r="AH225"/>
      <c r="AI225"/>
      <c r="AJ225"/>
      <c r="AK225"/>
      <c r="AL225"/>
      <c r="AM225"/>
      <c r="AN225"/>
    </row>
    <row r="226" spans="33:40">
      <c r="AG226"/>
      <c r="AH226"/>
      <c r="AI226"/>
      <c r="AJ226"/>
      <c r="AK226"/>
      <c r="AL226"/>
      <c r="AM226"/>
      <c r="AN226"/>
    </row>
    <row r="227" spans="33:40">
      <c r="AG227"/>
      <c r="AH227"/>
      <c r="AI227"/>
      <c r="AJ227"/>
      <c r="AK227"/>
      <c r="AL227"/>
      <c r="AM227"/>
      <c r="AN227"/>
    </row>
    <row r="228" spans="33:40">
      <c r="AG228"/>
      <c r="AH228"/>
      <c r="AI228"/>
      <c r="AJ228"/>
      <c r="AK228"/>
      <c r="AL228"/>
      <c r="AM228"/>
      <c r="AN228"/>
    </row>
    <row r="229" spans="33:40">
      <c r="AG229"/>
      <c r="AH229"/>
      <c r="AI229"/>
      <c r="AJ229"/>
      <c r="AK229"/>
      <c r="AL229"/>
      <c r="AM229"/>
      <c r="AN229"/>
    </row>
    <row r="230" spans="33:40">
      <c r="AG230"/>
      <c r="AH230"/>
      <c r="AI230"/>
      <c r="AJ230"/>
      <c r="AK230"/>
      <c r="AL230"/>
      <c r="AM230"/>
      <c r="AN230"/>
    </row>
    <row r="231" spans="33:40">
      <c r="AG231"/>
      <c r="AH231"/>
      <c r="AI231"/>
      <c r="AJ231"/>
      <c r="AK231"/>
      <c r="AL231"/>
      <c r="AM231"/>
      <c r="AN231"/>
    </row>
    <row r="232" spans="33:40">
      <c r="AG232"/>
      <c r="AH232"/>
      <c r="AI232"/>
      <c r="AJ232"/>
      <c r="AK232"/>
      <c r="AL232"/>
      <c r="AM232"/>
      <c r="AN232"/>
    </row>
    <row r="233" spans="33:40">
      <c r="AG233"/>
      <c r="AH233"/>
      <c r="AI233"/>
      <c r="AJ233"/>
      <c r="AK233"/>
      <c r="AL233"/>
      <c r="AM233"/>
      <c r="AN233"/>
    </row>
    <row r="234" spans="33:40">
      <c r="AG234"/>
      <c r="AH234"/>
      <c r="AI234"/>
      <c r="AJ234"/>
      <c r="AK234"/>
      <c r="AL234"/>
      <c r="AM234"/>
      <c r="AN234"/>
    </row>
    <row r="235" spans="33:40">
      <c r="AG235"/>
      <c r="AH235"/>
      <c r="AI235"/>
      <c r="AJ235"/>
      <c r="AK235"/>
      <c r="AL235"/>
      <c r="AM235"/>
      <c r="AN235"/>
    </row>
    <row r="236" spans="33:40">
      <c r="AG236"/>
      <c r="AH236"/>
      <c r="AI236"/>
      <c r="AJ236"/>
      <c r="AK236"/>
      <c r="AL236"/>
      <c r="AM236"/>
      <c r="AN236"/>
    </row>
    <row r="237" spans="33:40">
      <c r="AG237"/>
      <c r="AH237"/>
      <c r="AI237"/>
      <c r="AJ237"/>
      <c r="AK237"/>
      <c r="AL237"/>
      <c r="AM237"/>
      <c r="AN237"/>
    </row>
    <row r="238" spans="33:40">
      <c r="AG238"/>
      <c r="AH238"/>
      <c r="AI238"/>
      <c r="AJ238"/>
      <c r="AK238"/>
      <c r="AL238"/>
      <c r="AM238"/>
      <c r="AN238"/>
    </row>
    <row r="239" spans="33:40">
      <c r="AG239"/>
      <c r="AH239"/>
      <c r="AI239"/>
      <c r="AJ239"/>
      <c r="AK239"/>
      <c r="AL239"/>
      <c r="AM239"/>
      <c r="AN239"/>
    </row>
    <row r="240" spans="33:40">
      <c r="AG240"/>
      <c r="AH240"/>
      <c r="AI240"/>
      <c r="AJ240"/>
      <c r="AK240"/>
      <c r="AL240"/>
      <c r="AM240"/>
      <c r="AN240"/>
    </row>
    <row r="241" spans="33:40">
      <c r="AG241"/>
      <c r="AH241"/>
      <c r="AI241"/>
      <c r="AJ241"/>
      <c r="AK241"/>
      <c r="AL241"/>
      <c r="AM241"/>
      <c r="AN241"/>
    </row>
    <row r="242" spans="33:40">
      <c r="AG242"/>
      <c r="AH242"/>
      <c r="AI242"/>
      <c r="AJ242"/>
      <c r="AK242"/>
      <c r="AL242"/>
      <c r="AM242"/>
      <c r="AN242"/>
    </row>
    <row r="243" spans="33:40">
      <c r="AG243"/>
      <c r="AH243"/>
      <c r="AI243"/>
      <c r="AJ243"/>
      <c r="AK243"/>
      <c r="AL243"/>
      <c r="AM243"/>
      <c r="AN243"/>
    </row>
    <row r="244" spans="33:40">
      <c r="AG244"/>
      <c r="AH244"/>
      <c r="AI244"/>
      <c r="AJ244"/>
      <c r="AK244"/>
      <c r="AL244"/>
      <c r="AM244"/>
      <c r="AN244"/>
    </row>
    <row r="245" spans="33:40">
      <c r="AG245"/>
      <c r="AH245"/>
      <c r="AI245"/>
      <c r="AJ245"/>
      <c r="AK245"/>
      <c r="AL245"/>
      <c r="AM245"/>
      <c r="AN245"/>
    </row>
    <row r="246" spans="33:40">
      <c r="AG246"/>
      <c r="AH246"/>
      <c r="AI246"/>
      <c r="AJ246"/>
      <c r="AK246"/>
      <c r="AL246"/>
      <c r="AM246"/>
      <c r="AN246"/>
    </row>
    <row r="247" spans="33:40">
      <c r="AG247"/>
      <c r="AH247"/>
      <c r="AI247"/>
      <c r="AJ247"/>
      <c r="AK247"/>
      <c r="AL247"/>
      <c r="AM247"/>
      <c r="AN247"/>
    </row>
    <row r="248" spans="33:40">
      <c r="AG248"/>
      <c r="AH248"/>
      <c r="AI248"/>
      <c r="AJ248"/>
      <c r="AK248"/>
      <c r="AL248"/>
      <c r="AM248"/>
      <c r="AN248"/>
    </row>
    <row r="249" spans="33:40">
      <c r="AG249"/>
      <c r="AH249"/>
      <c r="AI249"/>
      <c r="AJ249"/>
      <c r="AK249"/>
      <c r="AL249"/>
      <c r="AM249"/>
      <c r="AN249"/>
    </row>
    <row r="250" spans="33:40">
      <c r="AG250"/>
      <c r="AH250"/>
      <c r="AI250"/>
      <c r="AJ250"/>
      <c r="AK250"/>
      <c r="AL250"/>
      <c r="AM250"/>
      <c r="AN250"/>
    </row>
    <row r="251" spans="33:40">
      <c r="AG251"/>
      <c r="AH251"/>
      <c r="AI251"/>
      <c r="AJ251"/>
      <c r="AK251"/>
      <c r="AL251"/>
      <c r="AM251"/>
      <c r="AN251"/>
    </row>
    <row r="252" spans="33:40">
      <c r="AG252"/>
      <c r="AH252"/>
      <c r="AI252"/>
      <c r="AJ252"/>
      <c r="AK252"/>
      <c r="AL252"/>
      <c r="AM252"/>
      <c r="AN252"/>
    </row>
    <row r="253" spans="33:40">
      <c r="AG253"/>
      <c r="AH253"/>
      <c r="AI253"/>
      <c r="AJ253"/>
      <c r="AK253"/>
      <c r="AL253"/>
      <c r="AM253"/>
      <c r="AN253"/>
    </row>
    <row r="254" spans="33:40">
      <c r="AG254"/>
      <c r="AH254"/>
      <c r="AI254"/>
      <c r="AJ254"/>
      <c r="AK254"/>
      <c r="AL254"/>
      <c r="AM254"/>
      <c r="AN254"/>
    </row>
    <row r="255" spans="33:40">
      <c r="AG255"/>
      <c r="AH255"/>
      <c r="AI255"/>
      <c r="AJ255"/>
      <c r="AK255"/>
      <c r="AL255"/>
      <c r="AM255"/>
      <c r="AN255"/>
    </row>
    <row r="256" spans="33:40">
      <c r="AG256"/>
      <c r="AH256"/>
      <c r="AI256"/>
      <c r="AJ256"/>
      <c r="AK256"/>
      <c r="AL256"/>
      <c r="AM256"/>
      <c r="AN256"/>
    </row>
    <row r="257" spans="33:40">
      <c r="AG257"/>
      <c r="AH257"/>
      <c r="AI257"/>
      <c r="AJ257"/>
      <c r="AK257"/>
      <c r="AL257"/>
      <c r="AM257"/>
      <c r="AN257"/>
    </row>
    <row r="258" spans="33:40">
      <c r="AG258"/>
      <c r="AH258"/>
      <c r="AI258"/>
      <c r="AJ258"/>
      <c r="AK258"/>
      <c r="AL258"/>
      <c r="AM258"/>
      <c r="AN258"/>
    </row>
    <row r="259" spans="33:40">
      <c r="AG259"/>
      <c r="AH259"/>
      <c r="AI259"/>
      <c r="AJ259"/>
      <c r="AK259"/>
      <c r="AL259"/>
      <c r="AM259"/>
      <c r="AN259"/>
    </row>
    <row r="260" spans="33:40">
      <c r="AG260"/>
      <c r="AH260"/>
      <c r="AI260"/>
      <c r="AJ260"/>
      <c r="AK260"/>
      <c r="AL260"/>
      <c r="AM260"/>
      <c r="AN260"/>
    </row>
    <row r="261" spans="33:40">
      <c r="AG261"/>
      <c r="AH261"/>
      <c r="AI261"/>
      <c r="AJ261"/>
      <c r="AK261"/>
      <c r="AL261"/>
      <c r="AM261"/>
      <c r="AN261"/>
    </row>
    <row r="262" spans="33:40">
      <c r="AG262"/>
      <c r="AH262"/>
      <c r="AI262"/>
      <c r="AJ262"/>
      <c r="AK262"/>
      <c r="AL262"/>
      <c r="AM262"/>
      <c r="AN262"/>
    </row>
    <row r="263" spans="33:40">
      <c r="AG263"/>
      <c r="AH263"/>
      <c r="AI263"/>
      <c r="AJ263"/>
      <c r="AK263"/>
      <c r="AL263"/>
      <c r="AM263"/>
      <c r="AN263"/>
    </row>
    <row r="264" spans="33:40">
      <c r="AG264"/>
      <c r="AH264"/>
      <c r="AI264"/>
      <c r="AJ264"/>
      <c r="AK264"/>
      <c r="AL264"/>
      <c r="AM264"/>
      <c r="AN264"/>
    </row>
    <row r="265" spans="33:40">
      <c r="AG265"/>
      <c r="AH265"/>
      <c r="AI265"/>
      <c r="AJ265"/>
      <c r="AK265"/>
      <c r="AL265"/>
      <c r="AM265"/>
      <c r="AN265"/>
    </row>
    <row r="266" spans="33:40">
      <c r="AG266"/>
      <c r="AH266"/>
      <c r="AI266"/>
      <c r="AJ266"/>
      <c r="AK266"/>
      <c r="AL266"/>
      <c r="AM266"/>
      <c r="AN266"/>
    </row>
    <row r="267" spans="33:40">
      <c r="AG267"/>
      <c r="AH267"/>
      <c r="AI267"/>
      <c r="AJ267"/>
      <c r="AK267"/>
      <c r="AL267"/>
      <c r="AM267"/>
      <c r="AN267"/>
    </row>
    <row r="268" spans="33:40">
      <c r="AG268"/>
      <c r="AH268"/>
      <c r="AI268"/>
      <c r="AJ268"/>
      <c r="AK268"/>
      <c r="AL268"/>
      <c r="AM268"/>
      <c r="AN268"/>
    </row>
    <row r="269" spans="33:40">
      <c r="AG269"/>
      <c r="AH269"/>
      <c r="AI269"/>
      <c r="AJ269"/>
      <c r="AK269"/>
      <c r="AL269"/>
      <c r="AM269"/>
      <c r="AN269"/>
    </row>
    <row r="270" spans="33:40">
      <c r="AG270"/>
      <c r="AH270"/>
      <c r="AI270"/>
      <c r="AJ270"/>
      <c r="AK270"/>
      <c r="AL270"/>
      <c r="AM270"/>
      <c r="AN270"/>
    </row>
    <row r="271" spans="33:40">
      <c r="AG271"/>
      <c r="AH271"/>
      <c r="AI271"/>
      <c r="AJ271"/>
      <c r="AK271"/>
      <c r="AL271"/>
      <c r="AM271"/>
      <c r="AN271"/>
    </row>
    <row r="272" spans="33:40">
      <c r="AG272"/>
      <c r="AH272"/>
      <c r="AI272"/>
      <c r="AJ272"/>
      <c r="AK272"/>
      <c r="AL272"/>
      <c r="AM272"/>
      <c r="AN272"/>
    </row>
    <row r="273" spans="33:40">
      <c r="AG273"/>
      <c r="AH273"/>
      <c r="AI273"/>
      <c r="AJ273"/>
      <c r="AK273"/>
      <c r="AL273"/>
      <c r="AM273"/>
      <c r="AN273"/>
    </row>
    <row r="274" spans="33:40">
      <c r="AG274"/>
      <c r="AH274"/>
      <c r="AI274"/>
      <c r="AJ274"/>
      <c r="AK274"/>
      <c r="AL274"/>
      <c r="AM274"/>
      <c r="AN274"/>
    </row>
    <row r="275" spans="33:40">
      <c r="AG275"/>
      <c r="AH275"/>
      <c r="AI275"/>
      <c r="AJ275"/>
      <c r="AK275"/>
      <c r="AL275"/>
      <c r="AM275"/>
      <c r="AN275"/>
    </row>
    <row r="276" spans="33:40">
      <c r="AG276"/>
      <c r="AH276"/>
      <c r="AI276"/>
      <c r="AJ276"/>
      <c r="AK276"/>
      <c r="AL276"/>
      <c r="AM276"/>
      <c r="AN276"/>
    </row>
    <row r="277" spans="33:40">
      <c r="AG277"/>
      <c r="AH277"/>
      <c r="AI277"/>
      <c r="AJ277"/>
      <c r="AK277"/>
      <c r="AL277"/>
      <c r="AM277"/>
      <c r="AN277"/>
    </row>
    <row r="278" spans="33:40">
      <c r="AG278"/>
      <c r="AH278"/>
      <c r="AI278"/>
      <c r="AJ278"/>
      <c r="AK278"/>
      <c r="AL278"/>
      <c r="AM278"/>
      <c r="AN278"/>
    </row>
    <row r="279" spans="33:40">
      <c r="AG279"/>
      <c r="AH279"/>
      <c r="AI279"/>
      <c r="AJ279"/>
      <c r="AK279"/>
      <c r="AL279"/>
      <c r="AM279"/>
      <c r="AN279"/>
    </row>
    <row r="280" spans="33:40">
      <c r="AG280"/>
      <c r="AH280"/>
      <c r="AI280"/>
      <c r="AJ280"/>
      <c r="AK280"/>
      <c r="AL280"/>
      <c r="AM280"/>
      <c r="AN280"/>
    </row>
    <row r="281" spans="33:40">
      <c r="AG281"/>
      <c r="AH281"/>
      <c r="AI281"/>
      <c r="AJ281"/>
      <c r="AK281"/>
      <c r="AL281"/>
      <c r="AM281"/>
      <c r="AN281"/>
    </row>
    <row r="282" spans="33:40">
      <c r="AG282"/>
      <c r="AH282"/>
      <c r="AI282"/>
      <c r="AJ282"/>
      <c r="AK282"/>
      <c r="AL282"/>
      <c r="AM282"/>
      <c r="AN282"/>
    </row>
    <row r="283" spans="33:40">
      <c r="AG283"/>
      <c r="AH283"/>
      <c r="AI283"/>
      <c r="AJ283"/>
      <c r="AK283"/>
      <c r="AL283"/>
      <c r="AM283"/>
      <c r="AN283"/>
    </row>
    <row r="284" spans="33:40">
      <c r="AG284"/>
      <c r="AH284"/>
      <c r="AI284"/>
      <c r="AJ284"/>
      <c r="AK284"/>
      <c r="AL284"/>
      <c r="AM284"/>
      <c r="AN284"/>
    </row>
    <row r="285" spans="33:40">
      <c r="AG285"/>
      <c r="AH285"/>
      <c r="AI285"/>
      <c r="AJ285"/>
      <c r="AK285"/>
      <c r="AL285"/>
      <c r="AM285"/>
      <c r="AN285"/>
    </row>
    <row r="286" spans="33:40">
      <c r="AG286"/>
      <c r="AH286"/>
      <c r="AI286"/>
      <c r="AJ286"/>
      <c r="AK286"/>
      <c r="AL286"/>
      <c r="AM286"/>
      <c r="AN286"/>
    </row>
    <row r="287" spans="33:40">
      <c r="AG287"/>
      <c r="AH287"/>
      <c r="AI287"/>
      <c r="AJ287"/>
      <c r="AK287"/>
      <c r="AL287"/>
      <c r="AM287"/>
      <c r="AN287"/>
    </row>
    <row r="288" spans="33:40">
      <c r="AG288"/>
      <c r="AH288"/>
      <c r="AI288"/>
      <c r="AJ288"/>
      <c r="AK288"/>
      <c r="AL288"/>
      <c r="AM288"/>
      <c r="AN288"/>
    </row>
    <row r="289" spans="33:40">
      <c r="AG289"/>
      <c r="AH289"/>
      <c r="AI289"/>
      <c r="AJ289"/>
      <c r="AK289"/>
      <c r="AL289"/>
      <c r="AM289"/>
      <c r="AN289"/>
    </row>
    <row r="290" spans="33:40">
      <c r="AG290"/>
      <c r="AH290"/>
      <c r="AI290"/>
      <c r="AJ290"/>
      <c r="AK290"/>
      <c r="AL290"/>
      <c r="AM290"/>
      <c r="AN290"/>
    </row>
    <row r="291" spans="33:40">
      <c r="AG291"/>
      <c r="AH291"/>
      <c r="AI291"/>
      <c r="AJ291"/>
      <c r="AK291"/>
      <c r="AL291"/>
      <c r="AM291"/>
      <c r="AN291"/>
    </row>
    <row r="292" spans="33:40">
      <c r="AG292"/>
      <c r="AH292"/>
      <c r="AI292"/>
      <c r="AJ292"/>
      <c r="AK292"/>
      <c r="AL292"/>
      <c r="AM292"/>
      <c r="AN292"/>
    </row>
    <row r="293" spans="33:40">
      <c r="AG293"/>
      <c r="AH293"/>
      <c r="AI293"/>
      <c r="AJ293"/>
      <c r="AK293"/>
      <c r="AL293"/>
      <c r="AM293"/>
      <c r="AN293"/>
    </row>
    <row r="294" spans="33:40">
      <c r="AG294"/>
      <c r="AH294"/>
      <c r="AI294"/>
      <c r="AJ294"/>
      <c r="AK294"/>
      <c r="AL294"/>
      <c r="AM294"/>
      <c r="AN294"/>
    </row>
    <row r="295" spans="33:40">
      <c r="AG295"/>
      <c r="AH295"/>
      <c r="AI295"/>
      <c r="AJ295"/>
      <c r="AK295"/>
      <c r="AL295"/>
      <c r="AM295"/>
      <c r="AN295"/>
    </row>
    <row r="296" spans="33:40">
      <c r="AG296"/>
      <c r="AH296"/>
      <c r="AI296"/>
      <c r="AJ296"/>
      <c r="AK296"/>
      <c r="AL296"/>
      <c r="AM296"/>
      <c r="AN296"/>
    </row>
    <row r="297" spans="33:40">
      <c r="AG297"/>
      <c r="AH297"/>
      <c r="AI297"/>
      <c r="AJ297"/>
      <c r="AK297"/>
      <c r="AL297"/>
      <c r="AM297"/>
      <c r="AN297"/>
    </row>
    <row r="298" spans="33:40">
      <c r="AG298"/>
      <c r="AH298"/>
      <c r="AI298"/>
      <c r="AJ298"/>
      <c r="AK298"/>
      <c r="AL298"/>
      <c r="AM298"/>
      <c r="AN298"/>
    </row>
    <row r="299" spans="33:40">
      <c r="AG299"/>
      <c r="AH299"/>
      <c r="AI299"/>
      <c r="AJ299"/>
      <c r="AK299"/>
      <c r="AL299"/>
      <c r="AM299"/>
      <c r="AN299"/>
    </row>
    <row r="300" spans="33:40">
      <c r="AG300"/>
      <c r="AH300"/>
      <c r="AI300"/>
      <c r="AJ300"/>
      <c r="AK300"/>
      <c r="AL300"/>
      <c r="AM300"/>
      <c r="AN300"/>
    </row>
    <row r="301" spans="33:40">
      <c r="AG301"/>
      <c r="AH301"/>
      <c r="AI301"/>
      <c r="AJ301"/>
      <c r="AK301"/>
      <c r="AL301"/>
      <c r="AM301"/>
      <c r="AN301"/>
    </row>
    <row r="302" spans="33:40">
      <c r="AG302"/>
      <c r="AH302"/>
      <c r="AI302"/>
      <c r="AJ302"/>
      <c r="AK302"/>
      <c r="AL302"/>
      <c r="AM302"/>
      <c r="AN302"/>
    </row>
    <row r="303" spans="33:40">
      <c r="AG303"/>
      <c r="AH303"/>
      <c r="AI303"/>
      <c r="AJ303"/>
      <c r="AK303"/>
      <c r="AL303"/>
      <c r="AM303"/>
      <c r="AN303"/>
    </row>
    <row r="304" spans="33:40">
      <c r="AG304"/>
      <c r="AH304"/>
      <c r="AI304"/>
      <c r="AJ304"/>
      <c r="AK304"/>
      <c r="AL304"/>
      <c r="AM304"/>
      <c r="AN304"/>
    </row>
    <row r="305" spans="33:40">
      <c r="AG305"/>
      <c r="AH305"/>
      <c r="AI305"/>
      <c r="AJ305"/>
      <c r="AK305"/>
      <c r="AL305"/>
      <c r="AM305"/>
      <c r="AN305"/>
    </row>
    <row r="306" spans="33:40">
      <c r="AG306"/>
      <c r="AH306"/>
      <c r="AI306"/>
      <c r="AJ306"/>
      <c r="AK306"/>
      <c r="AL306"/>
      <c r="AM306"/>
      <c r="AN306"/>
    </row>
    <row r="307" spans="33:40">
      <c r="AG307"/>
      <c r="AH307"/>
      <c r="AI307"/>
      <c r="AJ307"/>
      <c r="AK307"/>
      <c r="AL307"/>
      <c r="AM307"/>
      <c r="AN307"/>
    </row>
    <row r="308" spans="33:40">
      <c r="AG308"/>
      <c r="AH308"/>
      <c r="AI308"/>
      <c r="AJ308"/>
      <c r="AK308"/>
      <c r="AL308"/>
      <c r="AM308"/>
      <c r="AN308"/>
    </row>
    <row r="309" spans="33:40">
      <c r="AG309"/>
      <c r="AH309"/>
      <c r="AI309"/>
      <c r="AJ309"/>
      <c r="AK309"/>
      <c r="AL309"/>
      <c r="AM309"/>
      <c r="AN309"/>
    </row>
    <row r="310" spans="33:40">
      <c r="AG310"/>
      <c r="AH310"/>
      <c r="AI310"/>
      <c r="AJ310"/>
      <c r="AK310"/>
      <c r="AL310"/>
      <c r="AM310"/>
      <c r="AN310"/>
    </row>
    <row r="311" spans="33:40">
      <c r="AG311"/>
      <c r="AH311"/>
      <c r="AI311"/>
      <c r="AJ311"/>
      <c r="AK311"/>
      <c r="AL311"/>
      <c r="AM311"/>
      <c r="AN311"/>
    </row>
    <row r="312" spans="33:40">
      <c r="AG312"/>
      <c r="AH312"/>
      <c r="AI312"/>
      <c r="AJ312"/>
      <c r="AK312"/>
      <c r="AL312"/>
      <c r="AM312"/>
      <c r="AN312"/>
    </row>
    <row r="313" spans="33:40">
      <c r="AG313"/>
      <c r="AH313"/>
      <c r="AI313"/>
      <c r="AJ313"/>
      <c r="AK313"/>
      <c r="AL313"/>
      <c r="AM313"/>
      <c r="AN313"/>
    </row>
    <row r="314" spans="33:40">
      <c r="AG314"/>
      <c r="AH314"/>
      <c r="AI314"/>
      <c r="AJ314"/>
      <c r="AK314"/>
      <c r="AL314"/>
      <c r="AM314"/>
      <c r="AN314"/>
    </row>
    <row r="315" spans="33:40">
      <c r="AG315"/>
      <c r="AH315"/>
      <c r="AI315"/>
      <c r="AJ315"/>
      <c r="AK315"/>
      <c r="AL315"/>
      <c r="AM315"/>
      <c r="AN315"/>
    </row>
    <row r="316" spans="33:40">
      <c r="AG316"/>
      <c r="AH316"/>
      <c r="AI316"/>
      <c r="AJ316"/>
      <c r="AK316"/>
      <c r="AL316"/>
      <c r="AM316"/>
      <c r="AN316"/>
    </row>
    <row r="317" spans="33:40">
      <c r="AG317"/>
      <c r="AH317"/>
      <c r="AI317"/>
      <c r="AJ317"/>
      <c r="AK317"/>
      <c r="AL317"/>
      <c r="AM317"/>
      <c r="AN317"/>
    </row>
    <row r="318" spans="33:40">
      <c r="AG318"/>
      <c r="AH318"/>
      <c r="AI318"/>
      <c r="AJ318"/>
      <c r="AK318"/>
      <c r="AL318"/>
      <c r="AM318"/>
      <c r="AN318"/>
    </row>
    <row r="319" spans="33:40">
      <c r="AG319"/>
      <c r="AH319"/>
      <c r="AI319"/>
      <c r="AJ319"/>
      <c r="AK319"/>
      <c r="AL319"/>
      <c r="AM319"/>
      <c r="AN319"/>
    </row>
    <row r="320" spans="33:40">
      <c r="AG320"/>
      <c r="AH320"/>
      <c r="AI320"/>
      <c r="AJ320"/>
      <c r="AK320"/>
      <c r="AL320"/>
      <c r="AM320"/>
      <c r="AN320"/>
    </row>
    <row r="321" spans="33:40">
      <c r="AG321"/>
      <c r="AH321"/>
      <c r="AI321"/>
      <c r="AJ321"/>
      <c r="AK321"/>
      <c r="AL321"/>
      <c r="AM321"/>
      <c r="AN321"/>
    </row>
    <row r="322" spans="33:40">
      <c r="AG322"/>
      <c r="AH322"/>
      <c r="AI322"/>
      <c r="AJ322"/>
      <c r="AK322"/>
      <c r="AL322"/>
      <c r="AM322"/>
      <c r="AN322"/>
    </row>
    <row r="323" spans="33:40">
      <c r="AG323"/>
      <c r="AH323"/>
      <c r="AI323"/>
      <c r="AJ323"/>
      <c r="AK323"/>
      <c r="AL323"/>
      <c r="AM323"/>
      <c r="AN323"/>
    </row>
    <row r="324" spans="33:40">
      <c r="AG324"/>
      <c r="AH324"/>
      <c r="AI324"/>
      <c r="AJ324"/>
      <c r="AK324"/>
      <c r="AL324"/>
      <c r="AM324"/>
      <c r="AN324"/>
    </row>
    <row r="325" spans="33:40">
      <c r="AG325"/>
      <c r="AH325"/>
      <c r="AI325"/>
      <c r="AJ325"/>
      <c r="AK325"/>
      <c r="AL325"/>
      <c r="AM325"/>
      <c r="AN325"/>
    </row>
    <row r="326" spans="33:40">
      <c r="AG326"/>
      <c r="AH326"/>
      <c r="AI326"/>
      <c r="AJ326"/>
      <c r="AK326"/>
      <c r="AL326"/>
      <c r="AM326"/>
      <c r="AN326"/>
    </row>
    <row r="327" spans="33:40">
      <c r="AG327"/>
      <c r="AH327"/>
      <c r="AI327"/>
      <c r="AJ327"/>
      <c r="AK327"/>
      <c r="AL327"/>
      <c r="AM327"/>
      <c r="AN327"/>
    </row>
    <row r="328" spans="33:40">
      <c r="AG328"/>
      <c r="AH328"/>
      <c r="AI328"/>
      <c r="AJ328"/>
      <c r="AK328"/>
      <c r="AL328"/>
      <c r="AM328"/>
      <c r="AN328"/>
    </row>
    <row r="329" spans="33:40">
      <c r="AG329"/>
      <c r="AH329"/>
      <c r="AI329"/>
      <c r="AJ329"/>
      <c r="AK329"/>
      <c r="AL329"/>
      <c r="AM329"/>
      <c r="AN329"/>
    </row>
    <row r="330" spans="33:40">
      <c r="AG330"/>
      <c r="AH330"/>
      <c r="AI330"/>
      <c r="AJ330"/>
      <c r="AK330"/>
      <c r="AL330"/>
      <c r="AM330"/>
      <c r="AN330"/>
    </row>
    <row r="331" spans="33:40">
      <c r="AG331"/>
      <c r="AH331"/>
      <c r="AI331"/>
      <c r="AJ331"/>
      <c r="AK331"/>
      <c r="AL331"/>
      <c r="AM331"/>
      <c r="AN331"/>
    </row>
    <row r="332" spans="33:40">
      <c r="AG332"/>
      <c r="AH332"/>
      <c r="AI332"/>
      <c r="AJ332"/>
      <c r="AK332"/>
      <c r="AL332"/>
      <c r="AM332"/>
      <c r="AN332"/>
    </row>
    <row r="333" spans="33:40">
      <c r="AG333"/>
      <c r="AH333"/>
      <c r="AI333"/>
      <c r="AJ333"/>
      <c r="AK333"/>
      <c r="AL333"/>
      <c r="AM333"/>
      <c r="AN333"/>
    </row>
    <row r="334" spans="33:40">
      <c r="AG334"/>
      <c r="AH334"/>
      <c r="AI334"/>
      <c r="AJ334"/>
      <c r="AK334"/>
      <c r="AL334"/>
      <c r="AM334"/>
      <c r="AN334"/>
    </row>
    <row r="335" spans="33:40">
      <c r="AG335"/>
      <c r="AH335"/>
      <c r="AI335"/>
      <c r="AJ335"/>
      <c r="AK335"/>
      <c r="AL335"/>
      <c r="AM335"/>
      <c r="AN335"/>
    </row>
    <row r="336" spans="33:40">
      <c r="AG336"/>
      <c r="AH336"/>
      <c r="AI336"/>
      <c r="AJ336"/>
      <c r="AK336"/>
      <c r="AL336"/>
      <c r="AM336"/>
      <c r="AN336"/>
    </row>
    <row r="337" spans="33:40">
      <c r="AG337"/>
      <c r="AH337"/>
      <c r="AI337"/>
      <c r="AJ337"/>
      <c r="AK337"/>
      <c r="AL337"/>
      <c r="AM337"/>
      <c r="AN337"/>
    </row>
    <row r="338" spans="33:40">
      <c r="AG338"/>
      <c r="AH338"/>
      <c r="AI338"/>
      <c r="AJ338"/>
      <c r="AK338"/>
      <c r="AL338"/>
      <c r="AM338"/>
      <c r="AN338"/>
    </row>
    <row r="339" spans="33:40">
      <c r="AG339"/>
      <c r="AH339"/>
      <c r="AI339"/>
      <c r="AJ339"/>
      <c r="AK339"/>
      <c r="AL339"/>
      <c r="AM339"/>
      <c r="AN339"/>
    </row>
    <row r="340" spans="33:40">
      <c r="AG340"/>
      <c r="AH340"/>
      <c r="AI340"/>
      <c r="AJ340"/>
      <c r="AK340"/>
      <c r="AL340"/>
      <c r="AM340"/>
      <c r="AN340"/>
    </row>
    <row r="341" spans="33:40">
      <c r="AG341"/>
      <c r="AH341"/>
      <c r="AI341"/>
      <c r="AJ341"/>
      <c r="AK341"/>
      <c r="AL341"/>
      <c r="AM341"/>
      <c r="AN341"/>
    </row>
    <row r="342" spans="33:40">
      <c r="AG342"/>
      <c r="AH342"/>
      <c r="AI342"/>
      <c r="AJ342"/>
      <c r="AK342"/>
      <c r="AL342"/>
      <c r="AM342"/>
      <c r="AN342"/>
    </row>
    <row r="343" spans="33:40">
      <c r="AG343"/>
      <c r="AH343"/>
      <c r="AI343"/>
      <c r="AJ343"/>
      <c r="AK343"/>
      <c r="AL343"/>
      <c r="AM343"/>
      <c r="AN343"/>
    </row>
    <row r="344" spans="33:40">
      <c r="AG344"/>
      <c r="AH344"/>
      <c r="AI344"/>
      <c r="AJ344"/>
      <c r="AK344"/>
      <c r="AL344"/>
      <c r="AM344"/>
      <c r="AN344"/>
    </row>
    <row r="345" spans="33:40">
      <c r="AG345"/>
      <c r="AH345"/>
      <c r="AI345"/>
      <c r="AJ345"/>
      <c r="AK345"/>
      <c r="AL345"/>
      <c r="AM345"/>
      <c r="AN345"/>
    </row>
    <row r="346" spans="33:40">
      <c r="AG346"/>
      <c r="AH346"/>
      <c r="AI346"/>
      <c r="AJ346"/>
      <c r="AK346"/>
      <c r="AL346"/>
      <c r="AM346"/>
      <c r="AN346"/>
    </row>
    <row r="347" spans="33:40">
      <c r="AG347"/>
      <c r="AH347"/>
      <c r="AI347"/>
      <c r="AJ347"/>
      <c r="AK347"/>
      <c r="AL347"/>
      <c r="AM347"/>
      <c r="AN347"/>
    </row>
    <row r="348" spans="33:40">
      <c r="AG348"/>
      <c r="AH348"/>
      <c r="AI348"/>
      <c r="AJ348"/>
      <c r="AK348"/>
      <c r="AL348"/>
      <c r="AM348"/>
      <c r="AN348"/>
    </row>
    <row r="349" spans="33:40">
      <c r="AG349"/>
      <c r="AH349"/>
      <c r="AI349"/>
      <c r="AJ349"/>
      <c r="AK349"/>
      <c r="AL349"/>
      <c r="AM349"/>
      <c r="AN349"/>
    </row>
    <row r="350" spans="33:40">
      <c r="AG350"/>
      <c r="AH350"/>
      <c r="AI350"/>
      <c r="AJ350"/>
      <c r="AK350"/>
      <c r="AL350"/>
      <c r="AM350"/>
      <c r="AN350"/>
    </row>
    <row r="351" spans="33:40">
      <c r="AG351"/>
      <c r="AH351"/>
      <c r="AI351"/>
      <c r="AJ351"/>
      <c r="AK351"/>
      <c r="AL351"/>
      <c r="AM351"/>
      <c r="AN351"/>
    </row>
    <row r="352" spans="33:40">
      <c r="AG352"/>
      <c r="AH352"/>
      <c r="AI352"/>
      <c r="AJ352"/>
      <c r="AK352"/>
      <c r="AL352"/>
      <c r="AM352"/>
      <c r="AN352"/>
    </row>
    <row r="353" spans="33:40">
      <c r="AG353"/>
      <c r="AH353"/>
      <c r="AI353"/>
      <c r="AJ353"/>
      <c r="AK353"/>
      <c r="AL353"/>
      <c r="AM353"/>
      <c r="AN353"/>
    </row>
    <row r="354" spans="33:40">
      <c r="AG354"/>
      <c r="AH354"/>
      <c r="AI354"/>
      <c r="AJ354"/>
      <c r="AK354"/>
      <c r="AL354"/>
      <c r="AM354"/>
      <c r="AN354"/>
    </row>
    <row r="355" spans="33:40">
      <c r="AG355"/>
      <c r="AH355"/>
      <c r="AI355"/>
      <c r="AJ355"/>
      <c r="AK355"/>
      <c r="AL355"/>
      <c r="AM355"/>
      <c r="AN355"/>
    </row>
    <row r="356" spans="33:40">
      <c r="AG356"/>
      <c r="AH356"/>
      <c r="AI356"/>
      <c r="AJ356"/>
      <c r="AK356"/>
      <c r="AL356"/>
      <c r="AM356"/>
      <c r="AN356"/>
    </row>
    <row r="357" spans="33:40">
      <c r="AG357"/>
      <c r="AH357"/>
      <c r="AI357"/>
      <c r="AJ357"/>
      <c r="AK357"/>
      <c r="AL357"/>
      <c r="AM357"/>
      <c r="AN357"/>
    </row>
    <row r="358" spans="33:40">
      <c r="AG358"/>
      <c r="AH358"/>
      <c r="AI358"/>
      <c r="AJ358"/>
      <c r="AK358"/>
      <c r="AL358"/>
      <c r="AM358"/>
      <c r="AN358"/>
    </row>
    <row r="359" spans="33:40">
      <c r="AG359"/>
      <c r="AH359"/>
      <c r="AI359"/>
      <c r="AJ359"/>
      <c r="AK359"/>
      <c r="AL359"/>
      <c r="AM359"/>
      <c r="AN359"/>
    </row>
    <row r="360" spans="33:40">
      <c r="AG360"/>
      <c r="AH360"/>
      <c r="AI360"/>
      <c r="AJ360"/>
      <c r="AK360"/>
      <c r="AL360"/>
      <c r="AM360"/>
      <c r="AN360"/>
    </row>
    <row r="361" spans="33:40">
      <c r="AG361"/>
      <c r="AH361"/>
      <c r="AI361"/>
      <c r="AJ361"/>
      <c r="AK361"/>
      <c r="AL361"/>
      <c r="AM361"/>
      <c r="AN361"/>
    </row>
    <row r="362" spans="33:40">
      <c r="AG362"/>
      <c r="AH362"/>
      <c r="AI362"/>
      <c r="AJ362"/>
      <c r="AK362"/>
      <c r="AL362"/>
      <c r="AM362"/>
      <c r="AN362"/>
    </row>
    <row r="363" spans="33:40">
      <c r="AG363"/>
      <c r="AH363"/>
      <c r="AI363"/>
      <c r="AJ363"/>
      <c r="AK363"/>
      <c r="AL363"/>
      <c r="AM363"/>
      <c r="AN363"/>
    </row>
    <row r="364" spans="33:40">
      <c r="AG364"/>
      <c r="AH364"/>
      <c r="AI364"/>
      <c r="AJ364"/>
      <c r="AK364"/>
      <c r="AL364"/>
      <c r="AM364"/>
      <c r="AN364"/>
    </row>
    <row r="365" spans="33:40">
      <c r="AG365"/>
      <c r="AH365"/>
      <c r="AI365"/>
      <c r="AJ365"/>
      <c r="AK365"/>
      <c r="AL365"/>
      <c r="AM365"/>
      <c r="AN365"/>
    </row>
    <row r="366" spans="33:40">
      <c r="AG366"/>
      <c r="AH366"/>
      <c r="AI366"/>
      <c r="AJ366"/>
      <c r="AK366"/>
      <c r="AL366"/>
      <c r="AM366"/>
      <c r="AN366"/>
    </row>
    <row r="367" spans="33:40">
      <c r="AG367"/>
      <c r="AH367"/>
      <c r="AI367"/>
      <c r="AJ367"/>
      <c r="AK367"/>
      <c r="AL367"/>
      <c r="AM367"/>
      <c r="AN367"/>
    </row>
    <row r="368" spans="33:40">
      <c r="AG368"/>
      <c r="AH368"/>
      <c r="AI368"/>
      <c r="AJ368"/>
      <c r="AK368"/>
      <c r="AL368"/>
      <c r="AM368"/>
      <c r="AN368"/>
    </row>
    <row r="369" spans="33:40">
      <c r="AG369"/>
      <c r="AH369"/>
      <c r="AI369"/>
      <c r="AJ369"/>
      <c r="AK369"/>
      <c r="AL369"/>
      <c r="AM369"/>
      <c r="AN369"/>
    </row>
    <row r="370" spans="33:40">
      <c r="AG370"/>
      <c r="AH370"/>
      <c r="AI370"/>
      <c r="AJ370"/>
      <c r="AK370"/>
      <c r="AL370"/>
      <c r="AM370"/>
      <c r="AN370"/>
    </row>
    <row r="371" spans="33:40">
      <c r="AG371"/>
      <c r="AH371"/>
      <c r="AI371"/>
      <c r="AJ371"/>
      <c r="AK371"/>
      <c r="AL371"/>
      <c r="AM371"/>
      <c r="AN371"/>
    </row>
    <row r="372" spans="33:40">
      <c r="AG372"/>
      <c r="AH372"/>
      <c r="AI372"/>
      <c r="AJ372"/>
      <c r="AK372"/>
      <c r="AL372"/>
      <c r="AM372"/>
      <c r="AN372"/>
    </row>
    <row r="373" spans="33:40">
      <c r="AG373"/>
      <c r="AH373"/>
      <c r="AI373"/>
      <c r="AJ373"/>
      <c r="AK373"/>
      <c r="AL373"/>
      <c r="AM373"/>
      <c r="AN373"/>
    </row>
    <row r="374" spans="33:40">
      <c r="AG374"/>
      <c r="AH374"/>
      <c r="AI374"/>
      <c r="AJ374"/>
      <c r="AK374"/>
      <c r="AL374"/>
      <c r="AM374"/>
      <c r="AN374"/>
    </row>
    <row r="375" spans="33:40">
      <c r="AG375"/>
      <c r="AH375"/>
      <c r="AI375"/>
      <c r="AJ375"/>
      <c r="AK375"/>
      <c r="AL375"/>
      <c r="AM375"/>
      <c r="AN375"/>
    </row>
    <row r="376" spans="33:40">
      <c r="AG376"/>
      <c r="AH376"/>
      <c r="AI376"/>
      <c r="AJ376"/>
      <c r="AK376"/>
      <c r="AL376"/>
      <c r="AM376"/>
      <c r="AN376"/>
    </row>
    <row r="377" spans="33:40">
      <c r="AG377"/>
      <c r="AH377"/>
      <c r="AI377"/>
      <c r="AJ377"/>
      <c r="AK377"/>
      <c r="AL377"/>
      <c r="AM377"/>
      <c r="AN377"/>
    </row>
    <row r="378" spans="33:40">
      <c r="AG378"/>
      <c r="AH378"/>
      <c r="AI378"/>
      <c r="AJ378"/>
      <c r="AK378"/>
      <c r="AL378"/>
      <c r="AM378"/>
      <c r="AN378"/>
    </row>
    <row r="379" spans="33:40">
      <c r="AG379"/>
      <c r="AH379"/>
      <c r="AI379"/>
      <c r="AJ379"/>
      <c r="AK379"/>
      <c r="AL379"/>
      <c r="AM379"/>
      <c r="AN379"/>
    </row>
    <row r="380" spans="33:40">
      <c r="AG380"/>
      <c r="AH380"/>
      <c r="AI380"/>
      <c r="AJ380"/>
      <c r="AK380"/>
      <c r="AL380"/>
      <c r="AM380"/>
      <c r="AN380"/>
    </row>
    <row r="381" spans="33:40">
      <c r="AG381"/>
      <c r="AH381"/>
      <c r="AI381"/>
      <c r="AJ381"/>
      <c r="AK381"/>
      <c r="AL381"/>
      <c r="AM381"/>
      <c r="AN381"/>
    </row>
    <row r="382" spans="33:40">
      <c r="AG382"/>
      <c r="AH382"/>
      <c r="AI382"/>
      <c r="AJ382"/>
      <c r="AK382"/>
      <c r="AL382"/>
      <c r="AM382"/>
      <c r="AN382"/>
    </row>
    <row r="383" spans="33:40">
      <c r="AG383"/>
      <c r="AH383"/>
      <c r="AI383"/>
      <c r="AJ383"/>
      <c r="AK383"/>
      <c r="AL383"/>
      <c r="AM383"/>
      <c r="AN383"/>
    </row>
    <row r="384" spans="33:40">
      <c r="AG384"/>
      <c r="AH384"/>
      <c r="AI384"/>
      <c r="AJ384"/>
      <c r="AK384"/>
      <c r="AL384"/>
      <c r="AM384"/>
      <c r="AN384"/>
    </row>
    <row r="385" spans="1:40">
      <c r="AG385"/>
      <c r="AH385"/>
      <c r="AI385"/>
      <c r="AJ385"/>
      <c r="AK385"/>
      <c r="AL385"/>
      <c r="AM385"/>
      <c r="AN385"/>
    </row>
    <row r="386" spans="1:40">
      <c r="AG386"/>
      <c r="AH386"/>
      <c r="AI386"/>
      <c r="AJ386"/>
      <c r="AK386"/>
      <c r="AL386"/>
      <c r="AM386"/>
      <c r="AN386"/>
    </row>
    <row r="387" spans="1:40">
      <c r="AG387"/>
      <c r="AH387"/>
      <c r="AI387"/>
      <c r="AJ387"/>
      <c r="AK387"/>
      <c r="AL387"/>
      <c r="AM387"/>
      <c r="AN387"/>
    </row>
    <row r="388" spans="1:40">
      <c r="AG388"/>
      <c r="AH388"/>
      <c r="AI388"/>
      <c r="AJ388"/>
      <c r="AK388"/>
      <c r="AL388"/>
      <c r="AM388"/>
      <c r="AN388"/>
    </row>
    <row r="389" spans="1:40">
      <c r="AG389"/>
      <c r="AH389"/>
      <c r="AI389"/>
      <c r="AJ389"/>
      <c r="AK389"/>
      <c r="AL389"/>
      <c r="AM389"/>
      <c r="AN389"/>
    </row>
    <row r="390" spans="1:40">
      <c r="AG390"/>
      <c r="AH390"/>
      <c r="AI390"/>
      <c r="AJ390"/>
      <c r="AK390"/>
      <c r="AL390"/>
      <c r="AM390"/>
      <c r="AN390"/>
    </row>
    <row r="391" spans="1:40">
      <c r="AG391"/>
      <c r="AH391"/>
      <c r="AI391"/>
      <c r="AJ391"/>
      <c r="AK391"/>
      <c r="AL391"/>
      <c r="AM391"/>
      <c r="AN391"/>
    </row>
    <row r="392" spans="1:40">
      <c r="AG392"/>
      <c r="AH392"/>
      <c r="AI392"/>
      <c r="AJ392"/>
      <c r="AK392"/>
      <c r="AL392"/>
      <c r="AM392"/>
      <c r="AN392"/>
    </row>
    <row r="393" spans="1:40">
      <c r="AG393"/>
      <c r="AH393"/>
      <c r="AI393"/>
      <c r="AJ393"/>
      <c r="AK393"/>
      <c r="AL393"/>
      <c r="AM393"/>
      <c r="AN393"/>
    </row>
    <row r="394" spans="1:40">
      <c r="AG394"/>
      <c r="AH394"/>
      <c r="AI394"/>
      <c r="AJ394"/>
      <c r="AK394"/>
      <c r="AL394"/>
      <c r="AM394"/>
      <c r="AN394"/>
    </row>
    <row r="395" spans="1:40">
      <c r="AG395"/>
      <c r="AH395"/>
      <c r="AI395"/>
      <c r="AJ395"/>
      <c r="AK395"/>
      <c r="AL395"/>
      <c r="AM395"/>
      <c r="AN395"/>
    </row>
    <row r="396" spans="1:40">
      <c r="AG396"/>
      <c r="AH396"/>
      <c r="AI396"/>
      <c r="AJ396"/>
      <c r="AK396"/>
      <c r="AL396"/>
      <c r="AM396"/>
      <c r="AN396"/>
    </row>
    <row r="397" spans="1:40">
      <c r="AG397"/>
      <c r="AH397"/>
      <c r="AI397"/>
      <c r="AJ397"/>
      <c r="AK397"/>
      <c r="AL397"/>
      <c r="AM397"/>
      <c r="AN397"/>
    </row>
    <row r="398" spans="1:40">
      <c r="AG398"/>
      <c r="AH398"/>
      <c r="AI398"/>
      <c r="AJ398"/>
      <c r="AK398"/>
      <c r="AL398"/>
      <c r="AM398"/>
      <c r="AN398"/>
    </row>
    <row r="399" spans="1:40">
      <c r="AG399"/>
      <c r="AH399"/>
      <c r="AI399"/>
      <c r="AJ399"/>
      <c r="AK399"/>
      <c r="AL399"/>
      <c r="AM399"/>
      <c r="AN399"/>
    </row>
    <row r="400" spans="1:40">
      <c r="A400" s="11" t="s">
        <v>14</v>
      </c>
      <c r="B400" s="84" t="s">
        <v>94</v>
      </c>
      <c r="C400" s="12" t="s">
        <v>15</v>
      </c>
      <c r="D400" s="12" t="s">
        <v>93</v>
      </c>
      <c r="E400" s="12" t="s">
        <v>96</v>
      </c>
      <c r="F400" s="12" t="s">
        <v>97</v>
      </c>
      <c r="G400" s="12" t="s">
        <v>98</v>
      </c>
      <c r="AG400"/>
      <c r="AH400"/>
      <c r="AI400"/>
      <c r="AJ400"/>
      <c r="AK400"/>
      <c r="AL400"/>
      <c r="AM400"/>
      <c r="AN400"/>
    </row>
    <row r="401" spans="1:40">
      <c r="A401">
        <v>2</v>
      </c>
      <c r="B401">
        <v>13</v>
      </c>
      <c r="C401" t="s">
        <v>264</v>
      </c>
      <c r="D401" t="s">
        <v>577</v>
      </c>
      <c r="E401" t="s">
        <v>578</v>
      </c>
      <c r="G401" t="s">
        <v>576</v>
      </c>
      <c r="AG401"/>
      <c r="AH401"/>
      <c r="AI401"/>
      <c r="AJ401"/>
      <c r="AK401"/>
      <c r="AL401"/>
      <c r="AM401"/>
      <c r="AN401"/>
    </row>
    <row r="402" spans="1:40">
      <c r="A402">
        <v>3</v>
      </c>
      <c r="B402">
        <v>13</v>
      </c>
      <c r="C402" t="s">
        <v>264</v>
      </c>
      <c r="D402" t="s">
        <v>577</v>
      </c>
      <c r="E402" t="s">
        <v>578</v>
      </c>
      <c r="G402" t="s">
        <v>576</v>
      </c>
      <c r="AG402"/>
      <c r="AH402"/>
      <c r="AI402"/>
      <c r="AJ402"/>
      <c r="AK402"/>
      <c r="AL402"/>
      <c r="AM402"/>
      <c r="AN402"/>
    </row>
    <row r="403" spans="1:40">
      <c r="A403">
        <v>4</v>
      </c>
      <c r="B403">
        <v>13</v>
      </c>
      <c r="C403" t="s">
        <v>264</v>
      </c>
      <c r="D403" t="s">
        <v>577</v>
      </c>
      <c r="E403" t="s">
        <v>578</v>
      </c>
      <c r="G403" t="s">
        <v>576</v>
      </c>
      <c r="AG403"/>
      <c r="AH403"/>
      <c r="AI403"/>
      <c r="AJ403"/>
      <c r="AK403"/>
      <c r="AL403"/>
      <c r="AM403"/>
      <c r="AN403"/>
    </row>
    <row r="404" spans="1:40">
      <c r="A404">
        <v>5</v>
      </c>
      <c r="B404">
        <v>13</v>
      </c>
      <c r="C404" t="s">
        <v>264</v>
      </c>
      <c r="D404" t="s">
        <v>577</v>
      </c>
      <c r="E404" t="s">
        <v>578</v>
      </c>
      <c r="G404" t="s">
        <v>576</v>
      </c>
      <c r="AG404"/>
      <c r="AH404"/>
      <c r="AI404"/>
      <c r="AJ404"/>
      <c r="AK404"/>
      <c r="AL404"/>
      <c r="AM404"/>
      <c r="AN404"/>
    </row>
    <row r="405" spans="1:40">
      <c r="A405">
        <v>6</v>
      </c>
      <c r="B405">
        <v>13</v>
      </c>
      <c r="C405" t="s">
        <v>264</v>
      </c>
      <c r="D405" t="s">
        <v>577</v>
      </c>
      <c r="E405" t="s">
        <v>578</v>
      </c>
      <c r="G405" t="s">
        <v>576</v>
      </c>
      <c r="AG405"/>
      <c r="AH405"/>
      <c r="AI405"/>
      <c r="AJ405"/>
      <c r="AK405"/>
      <c r="AL405"/>
      <c r="AM405"/>
      <c r="AN405"/>
    </row>
    <row r="406" spans="1:40">
      <c r="A406">
        <v>7</v>
      </c>
      <c r="B406">
        <v>13</v>
      </c>
      <c r="C406" t="s">
        <v>264</v>
      </c>
      <c r="D406" t="s">
        <v>577</v>
      </c>
      <c r="E406" t="s">
        <v>578</v>
      </c>
      <c r="G406" t="s">
        <v>576</v>
      </c>
      <c r="AG406"/>
      <c r="AH406"/>
      <c r="AI406"/>
      <c r="AJ406"/>
      <c r="AK406"/>
      <c r="AL406"/>
      <c r="AM406"/>
      <c r="AN406"/>
    </row>
    <row r="407" spans="1:40">
      <c r="A407">
        <v>8</v>
      </c>
      <c r="B407">
        <v>13</v>
      </c>
      <c r="C407" t="s">
        <v>264</v>
      </c>
      <c r="D407" t="s">
        <v>577</v>
      </c>
      <c r="E407" t="s">
        <v>578</v>
      </c>
      <c r="G407" t="s">
        <v>576</v>
      </c>
      <c r="AG407"/>
      <c r="AH407"/>
      <c r="AI407"/>
      <c r="AJ407"/>
      <c r="AK407"/>
      <c r="AL407"/>
      <c r="AM407"/>
      <c r="AN407"/>
    </row>
    <row r="408" spans="1:40">
      <c r="A408">
        <v>9</v>
      </c>
      <c r="B408">
        <v>13</v>
      </c>
      <c r="C408" t="s">
        <v>264</v>
      </c>
      <c r="D408" t="s">
        <v>577</v>
      </c>
      <c r="E408" t="s">
        <v>578</v>
      </c>
      <c r="G408" t="s">
        <v>576</v>
      </c>
      <c r="AG408"/>
      <c r="AH408"/>
      <c r="AI408"/>
      <c r="AJ408"/>
      <c r="AK408"/>
      <c r="AL408"/>
      <c r="AM408"/>
      <c r="AN408"/>
    </row>
    <row r="409" spans="1:40">
      <c r="A409">
        <v>10</v>
      </c>
      <c r="B409">
        <v>13</v>
      </c>
      <c r="C409" t="s">
        <v>264</v>
      </c>
      <c r="D409" t="s">
        <v>577</v>
      </c>
      <c r="E409" t="s">
        <v>578</v>
      </c>
      <c r="G409" t="s">
        <v>576</v>
      </c>
      <c r="AG409"/>
      <c r="AH409"/>
      <c r="AI409"/>
      <c r="AJ409"/>
      <c r="AK409"/>
      <c r="AL409"/>
      <c r="AM409"/>
      <c r="AN409"/>
    </row>
    <row r="410" spans="1:40">
      <c r="A410">
        <v>11</v>
      </c>
      <c r="B410">
        <v>13</v>
      </c>
      <c r="C410" t="s">
        <v>264</v>
      </c>
      <c r="D410" t="s">
        <v>577</v>
      </c>
      <c r="E410" t="s">
        <v>578</v>
      </c>
      <c r="G410" t="s">
        <v>576</v>
      </c>
      <c r="AG410"/>
      <c r="AH410"/>
      <c r="AI410"/>
      <c r="AJ410"/>
      <c r="AK410"/>
      <c r="AL410"/>
      <c r="AM410"/>
      <c r="AN410"/>
    </row>
    <row r="411" spans="1:40">
      <c r="A411">
        <v>12</v>
      </c>
      <c r="B411">
        <v>13</v>
      </c>
      <c r="C411" t="s">
        <v>264</v>
      </c>
      <c r="D411" t="s">
        <v>577</v>
      </c>
      <c r="E411" t="s">
        <v>578</v>
      </c>
      <c r="G411" t="s">
        <v>576</v>
      </c>
      <c r="AG411"/>
      <c r="AH411"/>
      <c r="AI411"/>
      <c r="AJ411"/>
      <c r="AK411"/>
      <c r="AL411"/>
      <c r="AM411"/>
      <c r="AN411"/>
    </row>
    <row r="412" spans="1:40">
      <c r="A412">
        <v>13</v>
      </c>
      <c r="B412">
        <v>13</v>
      </c>
      <c r="C412" t="s">
        <v>264</v>
      </c>
      <c r="D412" t="s">
        <v>577</v>
      </c>
      <c r="E412" t="s">
        <v>578</v>
      </c>
      <c r="G412" t="s">
        <v>576</v>
      </c>
      <c r="AG412"/>
      <c r="AH412"/>
      <c r="AI412"/>
      <c r="AJ412"/>
      <c r="AK412"/>
      <c r="AL412"/>
      <c r="AM412"/>
      <c r="AN412"/>
    </row>
    <row r="413" spans="1:40">
      <c r="A413">
        <v>14</v>
      </c>
      <c r="B413">
        <v>13</v>
      </c>
      <c r="C413" t="s">
        <v>264</v>
      </c>
      <c r="D413" t="s">
        <v>577</v>
      </c>
      <c r="E413" t="s">
        <v>578</v>
      </c>
      <c r="G413" t="s">
        <v>576</v>
      </c>
      <c r="AG413"/>
      <c r="AH413"/>
      <c r="AI413"/>
      <c r="AJ413"/>
      <c r="AK413"/>
      <c r="AL413"/>
      <c r="AM413"/>
      <c r="AN413"/>
    </row>
    <row r="414" spans="1:40">
      <c r="A414">
        <v>15</v>
      </c>
      <c r="B414">
        <v>13</v>
      </c>
      <c r="C414" t="s">
        <v>264</v>
      </c>
      <c r="D414" t="s">
        <v>577</v>
      </c>
      <c r="E414" t="s">
        <v>578</v>
      </c>
      <c r="G414" t="s">
        <v>576</v>
      </c>
      <c r="AG414"/>
      <c r="AH414"/>
      <c r="AI414"/>
      <c r="AJ414"/>
      <c r="AK414"/>
      <c r="AL414"/>
      <c r="AM414"/>
      <c r="AN414"/>
    </row>
    <row r="415" spans="1:40">
      <c r="A415">
        <v>16</v>
      </c>
      <c r="B415">
        <v>13</v>
      </c>
      <c r="C415" t="s">
        <v>264</v>
      </c>
      <c r="D415" t="s">
        <v>577</v>
      </c>
      <c r="E415" t="s">
        <v>578</v>
      </c>
      <c r="G415" t="s">
        <v>576</v>
      </c>
      <c r="AG415"/>
      <c r="AH415"/>
      <c r="AI415"/>
      <c r="AJ415"/>
      <c r="AK415"/>
      <c r="AL415"/>
      <c r="AM415"/>
      <c r="AN415"/>
    </row>
    <row r="416" spans="1:40">
      <c r="A416">
        <v>17</v>
      </c>
      <c r="B416">
        <v>13</v>
      </c>
      <c r="C416" t="s">
        <v>264</v>
      </c>
      <c r="D416" t="s">
        <v>577</v>
      </c>
      <c r="E416" t="s">
        <v>578</v>
      </c>
      <c r="G416" t="s">
        <v>576</v>
      </c>
      <c r="AG416"/>
      <c r="AH416"/>
      <c r="AI416"/>
      <c r="AJ416"/>
      <c r="AK416"/>
      <c r="AL416"/>
      <c r="AM416"/>
      <c r="AN416"/>
    </row>
    <row r="417" spans="1:40">
      <c r="A417">
        <v>18</v>
      </c>
      <c r="B417">
        <v>13</v>
      </c>
      <c r="C417" t="s">
        <v>264</v>
      </c>
      <c r="D417" t="s">
        <v>577</v>
      </c>
      <c r="E417" t="s">
        <v>578</v>
      </c>
      <c r="G417" t="s">
        <v>576</v>
      </c>
      <c r="AG417"/>
      <c r="AH417"/>
      <c r="AI417"/>
      <c r="AJ417"/>
      <c r="AK417"/>
      <c r="AL417"/>
      <c r="AM417"/>
      <c r="AN417"/>
    </row>
    <row r="418" spans="1:40">
      <c r="A418">
        <v>19</v>
      </c>
      <c r="B418">
        <v>13</v>
      </c>
      <c r="C418" t="s">
        <v>264</v>
      </c>
      <c r="D418" t="s">
        <v>577</v>
      </c>
      <c r="E418" t="s">
        <v>578</v>
      </c>
      <c r="G418" t="s">
        <v>576</v>
      </c>
      <c r="AG418"/>
      <c r="AH418"/>
      <c r="AI418"/>
      <c r="AJ418"/>
      <c r="AK418"/>
      <c r="AL418"/>
      <c r="AM418"/>
      <c r="AN418"/>
    </row>
    <row r="419" spans="1:40">
      <c r="A419">
        <v>20</v>
      </c>
      <c r="B419">
        <v>13</v>
      </c>
      <c r="C419" t="s">
        <v>264</v>
      </c>
      <c r="D419" t="s">
        <v>577</v>
      </c>
      <c r="E419" t="s">
        <v>578</v>
      </c>
      <c r="G419" t="s">
        <v>576</v>
      </c>
      <c r="AG419"/>
      <c r="AH419"/>
      <c r="AI419"/>
      <c r="AJ419"/>
      <c r="AK419"/>
      <c r="AL419"/>
      <c r="AM419"/>
      <c r="AN419"/>
    </row>
    <row r="420" spans="1:40">
      <c r="A420">
        <v>21</v>
      </c>
      <c r="B420">
        <v>13</v>
      </c>
      <c r="C420" t="s">
        <v>264</v>
      </c>
      <c r="D420" t="s">
        <v>577</v>
      </c>
      <c r="E420" t="s">
        <v>578</v>
      </c>
      <c r="G420" t="s">
        <v>576</v>
      </c>
      <c r="AG420"/>
      <c r="AH420"/>
      <c r="AI420"/>
      <c r="AJ420"/>
      <c r="AK420"/>
      <c r="AL420"/>
      <c r="AM420"/>
      <c r="AN420"/>
    </row>
    <row r="421" spans="1:40">
      <c r="A421">
        <v>22</v>
      </c>
      <c r="B421">
        <v>13</v>
      </c>
      <c r="C421" t="s">
        <v>264</v>
      </c>
      <c r="D421" t="s">
        <v>577</v>
      </c>
      <c r="E421" t="s">
        <v>578</v>
      </c>
      <c r="G421" t="s">
        <v>576</v>
      </c>
      <c r="AG421"/>
      <c r="AH421"/>
      <c r="AI421"/>
      <c r="AJ421"/>
      <c r="AK421"/>
      <c r="AL421"/>
      <c r="AM421"/>
      <c r="AN421"/>
    </row>
    <row r="422" spans="1:40">
      <c r="A422">
        <v>23</v>
      </c>
      <c r="B422">
        <v>13</v>
      </c>
      <c r="C422" t="s">
        <v>264</v>
      </c>
      <c r="D422" t="s">
        <v>577</v>
      </c>
      <c r="E422" t="s">
        <v>578</v>
      </c>
      <c r="G422" t="s">
        <v>576</v>
      </c>
      <c r="AG422"/>
      <c r="AH422"/>
      <c r="AI422"/>
      <c r="AJ422"/>
      <c r="AK422"/>
      <c r="AL422"/>
      <c r="AM422"/>
      <c r="AN422"/>
    </row>
    <row r="423" spans="1:40">
      <c r="A423">
        <v>24</v>
      </c>
      <c r="B423">
        <v>13</v>
      </c>
      <c r="C423" t="s">
        <v>264</v>
      </c>
      <c r="D423" t="s">
        <v>577</v>
      </c>
      <c r="E423" t="s">
        <v>578</v>
      </c>
      <c r="G423" t="s">
        <v>576</v>
      </c>
      <c r="AG423"/>
      <c r="AH423"/>
      <c r="AI423"/>
      <c r="AJ423"/>
      <c r="AK423"/>
      <c r="AL423"/>
      <c r="AM423"/>
      <c r="AN423"/>
    </row>
    <row r="424" spans="1:40">
      <c r="A424">
        <v>25</v>
      </c>
      <c r="B424">
        <v>13</v>
      </c>
      <c r="C424" t="s">
        <v>264</v>
      </c>
      <c r="D424" t="s">
        <v>577</v>
      </c>
      <c r="E424" t="s">
        <v>578</v>
      </c>
      <c r="G424" t="s">
        <v>576</v>
      </c>
      <c r="AG424"/>
      <c r="AH424"/>
      <c r="AI424"/>
      <c r="AJ424"/>
      <c r="AK424"/>
      <c r="AL424"/>
      <c r="AM424"/>
      <c r="AN424"/>
    </row>
    <row r="425" spans="1:40">
      <c r="A425">
        <v>26</v>
      </c>
      <c r="B425">
        <v>13</v>
      </c>
      <c r="C425" t="s">
        <v>264</v>
      </c>
      <c r="D425" t="s">
        <v>577</v>
      </c>
      <c r="E425" t="s">
        <v>578</v>
      </c>
      <c r="G425" t="s">
        <v>576</v>
      </c>
      <c r="AG425"/>
      <c r="AH425"/>
      <c r="AI425"/>
      <c r="AJ425"/>
      <c r="AK425"/>
      <c r="AL425"/>
      <c r="AM425"/>
      <c r="AN425"/>
    </row>
    <row r="426" spans="1:40">
      <c r="A426">
        <v>27</v>
      </c>
      <c r="B426">
        <v>13</v>
      </c>
      <c r="C426" t="s">
        <v>264</v>
      </c>
      <c r="D426" t="s">
        <v>577</v>
      </c>
      <c r="E426" t="s">
        <v>578</v>
      </c>
      <c r="G426" t="s">
        <v>576</v>
      </c>
      <c r="AG426"/>
      <c r="AH426"/>
      <c r="AI426"/>
      <c r="AJ426"/>
      <c r="AK426"/>
      <c r="AL426"/>
      <c r="AM426"/>
      <c r="AN426"/>
    </row>
    <row r="427" spans="1:40">
      <c r="A427">
        <v>28</v>
      </c>
      <c r="B427">
        <v>13</v>
      </c>
      <c r="C427" t="s">
        <v>264</v>
      </c>
      <c r="D427" t="s">
        <v>577</v>
      </c>
      <c r="E427" t="s">
        <v>578</v>
      </c>
      <c r="G427" t="s">
        <v>576</v>
      </c>
      <c r="AG427"/>
      <c r="AH427"/>
      <c r="AI427"/>
      <c r="AJ427"/>
      <c r="AK427"/>
      <c r="AL427"/>
      <c r="AM427"/>
      <c r="AN427"/>
    </row>
    <row r="428" spans="1:40">
      <c r="A428">
        <v>29</v>
      </c>
      <c r="B428">
        <v>13</v>
      </c>
      <c r="C428" t="s">
        <v>264</v>
      </c>
      <c r="D428" t="s">
        <v>577</v>
      </c>
      <c r="E428" t="s">
        <v>578</v>
      </c>
      <c r="G428" t="s">
        <v>576</v>
      </c>
      <c r="AG428"/>
      <c r="AH428"/>
      <c r="AI428"/>
      <c r="AJ428"/>
      <c r="AK428"/>
      <c r="AL428"/>
      <c r="AM428"/>
      <c r="AN428"/>
    </row>
    <row r="429" spans="1:40">
      <c r="A429">
        <v>30</v>
      </c>
      <c r="B429">
        <v>13</v>
      </c>
      <c r="C429" t="s">
        <v>264</v>
      </c>
      <c r="D429" t="s">
        <v>577</v>
      </c>
      <c r="E429" t="s">
        <v>578</v>
      </c>
      <c r="G429" t="s">
        <v>576</v>
      </c>
      <c r="AG429"/>
      <c r="AH429"/>
      <c r="AI429"/>
      <c r="AJ429"/>
      <c r="AK429"/>
      <c r="AL429"/>
      <c r="AM429"/>
      <c r="AN429"/>
    </row>
    <row r="430" spans="1:40">
      <c r="A430">
        <v>31</v>
      </c>
      <c r="B430">
        <v>13</v>
      </c>
      <c r="C430" t="s">
        <v>264</v>
      </c>
      <c r="D430" t="s">
        <v>577</v>
      </c>
      <c r="E430" t="s">
        <v>578</v>
      </c>
      <c r="G430" t="s">
        <v>576</v>
      </c>
      <c r="AG430"/>
      <c r="AH430"/>
      <c r="AI430"/>
      <c r="AJ430"/>
      <c r="AK430"/>
      <c r="AL430"/>
      <c r="AM430"/>
      <c r="AN430"/>
    </row>
    <row r="431" spans="1:40">
      <c r="A431">
        <v>32</v>
      </c>
      <c r="B431">
        <v>13</v>
      </c>
      <c r="C431" t="s">
        <v>264</v>
      </c>
      <c r="D431" t="s">
        <v>577</v>
      </c>
      <c r="E431" t="s">
        <v>578</v>
      </c>
      <c r="G431" t="s">
        <v>576</v>
      </c>
      <c r="AG431"/>
      <c r="AH431"/>
      <c r="AI431"/>
      <c r="AJ431"/>
      <c r="AK431"/>
      <c r="AL431"/>
      <c r="AM431"/>
      <c r="AN431"/>
    </row>
    <row r="432" spans="1:40">
      <c r="A432">
        <v>33</v>
      </c>
      <c r="B432">
        <v>13</v>
      </c>
      <c r="C432" t="s">
        <v>264</v>
      </c>
      <c r="D432" t="s">
        <v>577</v>
      </c>
      <c r="E432" t="s">
        <v>578</v>
      </c>
      <c r="G432" t="s">
        <v>576</v>
      </c>
      <c r="AG432"/>
      <c r="AH432"/>
      <c r="AI432"/>
      <c r="AJ432"/>
      <c r="AK432"/>
      <c r="AL432"/>
      <c r="AM432"/>
      <c r="AN432"/>
    </row>
    <row r="433" spans="1:40">
      <c r="A433">
        <v>34</v>
      </c>
      <c r="B433">
        <v>13</v>
      </c>
      <c r="C433" t="s">
        <v>264</v>
      </c>
      <c r="D433" t="s">
        <v>577</v>
      </c>
      <c r="E433" t="s">
        <v>578</v>
      </c>
      <c r="G433" t="s">
        <v>576</v>
      </c>
      <c r="AG433"/>
      <c r="AH433"/>
      <c r="AI433"/>
      <c r="AJ433"/>
      <c r="AK433"/>
      <c r="AL433"/>
      <c r="AM433"/>
      <c r="AN433"/>
    </row>
    <row r="434" spans="1:40">
      <c r="A434">
        <v>35</v>
      </c>
      <c r="B434">
        <v>13</v>
      </c>
      <c r="C434" t="s">
        <v>264</v>
      </c>
      <c r="D434" t="s">
        <v>577</v>
      </c>
      <c r="E434" t="s">
        <v>578</v>
      </c>
      <c r="G434" t="s">
        <v>576</v>
      </c>
      <c r="AG434"/>
      <c r="AH434"/>
      <c r="AI434"/>
      <c r="AJ434"/>
      <c r="AK434"/>
      <c r="AL434"/>
      <c r="AM434"/>
      <c r="AN434"/>
    </row>
    <row r="435" spans="1:40">
      <c r="A435">
        <v>36</v>
      </c>
      <c r="B435">
        <v>13</v>
      </c>
      <c r="C435" t="s">
        <v>264</v>
      </c>
      <c r="D435" t="s">
        <v>577</v>
      </c>
      <c r="E435" t="s">
        <v>578</v>
      </c>
      <c r="G435" t="s">
        <v>576</v>
      </c>
      <c r="AG435"/>
      <c r="AH435"/>
      <c r="AI435"/>
      <c r="AJ435"/>
      <c r="AK435"/>
      <c r="AL435"/>
      <c r="AM435"/>
      <c r="AN435"/>
    </row>
    <row r="436" spans="1:40">
      <c r="A436">
        <v>37</v>
      </c>
      <c r="B436">
        <v>13</v>
      </c>
      <c r="C436" t="s">
        <v>264</v>
      </c>
      <c r="D436" t="s">
        <v>577</v>
      </c>
      <c r="E436" t="s">
        <v>578</v>
      </c>
      <c r="G436" t="s">
        <v>576</v>
      </c>
      <c r="AG436"/>
      <c r="AH436"/>
      <c r="AI436"/>
      <c r="AJ436"/>
      <c r="AK436"/>
      <c r="AL436"/>
      <c r="AM436"/>
      <c r="AN436"/>
    </row>
    <row r="437" spans="1:40">
      <c r="A437">
        <v>38</v>
      </c>
      <c r="B437">
        <v>13</v>
      </c>
      <c r="C437" t="s">
        <v>264</v>
      </c>
      <c r="D437" t="s">
        <v>577</v>
      </c>
      <c r="E437" t="s">
        <v>578</v>
      </c>
      <c r="G437" t="s">
        <v>576</v>
      </c>
      <c r="AG437"/>
      <c r="AH437"/>
      <c r="AI437"/>
      <c r="AJ437"/>
      <c r="AK437"/>
      <c r="AL437"/>
      <c r="AM437"/>
      <c r="AN437"/>
    </row>
    <row r="438" spans="1:40">
      <c r="A438">
        <v>39</v>
      </c>
      <c r="B438">
        <v>13</v>
      </c>
      <c r="C438" t="s">
        <v>264</v>
      </c>
      <c r="D438" t="s">
        <v>577</v>
      </c>
      <c r="E438" t="s">
        <v>578</v>
      </c>
      <c r="G438" t="s">
        <v>576</v>
      </c>
      <c r="AG438"/>
      <c r="AH438"/>
      <c r="AI438"/>
      <c r="AJ438"/>
      <c r="AK438"/>
      <c r="AL438"/>
      <c r="AM438"/>
      <c r="AN438"/>
    </row>
    <row r="439" spans="1:40">
      <c r="A439">
        <v>40</v>
      </c>
      <c r="B439">
        <v>13</v>
      </c>
      <c r="C439" t="s">
        <v>264</v>
      </c>
      <c r="D439" t="s">
        <v>577</v>
      </c>
      <c r="E439" t="s">
        <v>578</v>
      </c>
      <c r="G439" t="s">
        <v>576</v>
      </c>
      <c r="AG439"/>
      <c r="AH439"/>
      <c r="AI439"/>
      <c r="AJ439"/>
      <c r="AK439"/>
      <c r="AL439"/>
      <c r="AM439"/>
      <c r="AN439"/>
    </row>
    <row r="440" spans="1:40">
      <c r="A440">
        <v>41</v>
      </c>
      <c r="B440">
        <v>13</v>
      </c>
      <c r="C440" t="s">
        <v>264</v>
      </c>
      <c r="D440" t="s">
        <v>577</v>
      </c>
      <c r="E440" t="s">
        <v>578</v>
      </c>
      <c r="G440" t="s">
        <v>576</v>
      </c>
      <c r="AG440"/>
      <c r="AH440"/>
      <c r="AI440"/>
      <c r="AJ440"/>
      <c r="AK440"/>
      <c r="AL440"/>
      <c r="AM440"/>
      <c r="AN440"/>
    </row>
    <row r="441" spans="1:40">
      <c r="A441">
        <v>42</v>
      </c>
      <c r="B441">
        <v>13</v>
      </c>
      <c r="C441" t="s">
        <v>264</v>
      </c>
      <c r="D441" t="s">
        <v>577</v>
      </c>
      <c r="E441" t="s">
        <v>578</v>
      </c>
      <c r="G441" t="s">
        <v>576</v>
      </c>
      <c r="AG441"/>
      <c r="AH441"/>
      <c r="AI441"/>
      <c r="AJ441"/>
      <c r="AK441"/>
      <c r="AL441"/>
      <c r="AM441"/>
      <c r="AN441"/>
    </row>
    <row r="442" spans="1:40">
      <c r="A442">
        <v>43</v>
      </c>
      <c r="B442">
        <v>13</v>
      </c>
      <c r="C442" t="s">
        <v>264</v>
      </c>
      <c r="D442" t="s">
        <v>577</v>
      </c>
      <c r="E442" t="s">
        <v>578</v>
      </c>
      <c r="G442" t="s">
        <v>576</v>
      </c>
      <c r="AG442"/>
      <c r="AH442"/>
      <c r="AI442"/>
      <c r="AJ442"/>
      <c r="AK442"/>
      <c r="AL442"/>
      <c r="AM442"/>
      <c r="AN442"/>
    </row>
    <row r="443" spans="1:40">
      <c r="A443">
        <v>44</v>
      </c>
      <c r="B443">
        <v>13</v>
      </c>
      <c r="C443" t="s">
        <v>264</v>
      </c>
      <c r="D443" t="s">
        <v>577</v>
      </c>
      <c r="E443" t="s">
        <v>578</v>
      </c>
      <c r="G443" t="s">
        <v>576</v>
      </c>
      <c r="AG443"/>
      <c r="AH443"/>
      <c r="AI443"/>
      <c r="AJ443"/>
      <c r="AK443"/>
      <c r="AL443"/>
      <c r="AM443"/>
      <c r="AN443"/>
    </row>
    <row r="444" spans="1:40">
      <c r="A444">
        <v>45</v>
      </c>
      <c r="B444">
        <v>13</v>
      </c>
      <c r="C444" t="s">
        <v>264</v>
      </c>
      <c r="D444" t="s">
        <v>577</v>
      </c>
      <c r="E444" t="s">
        <v>578</v>
      </c>
      <c r="G444" t="s">
        <v>576</v>
      </c>
      <c r="AG444"/>
      <c r="AH444"/>
      <c r="AI444"/>
      <c r="AJ444"/>
      <c r="AK444"/>
      <c r="AL444"/>
      <c r="AM444"/>
      <c r="AN444"/>
    </row>
    <row r="445" spans="1:40">
      <c r="A445">
        <v>46</v>
      </c>
      <c r="B445">
        <v>13</v>
      </c>
      <c r="C445" t="s">
        <v>264</v>
      </c>
      <c r="D445" t="s">
        <v>577</v>
      </c>
      <c r="E445" t="s">
        <v>578</v>
      </c>
      <c r="G445" t="s">
        <v>576</v>
      </c>
      <c r="AG445"/>
      <c r="AH445"/>
      <c r="AI445"/>
      <c r="AJ445"/>
      <c r="AK445"/>
      <c r="AL445"/>
      <c r="AM445"/>
      <c r="AN445"/>
    </row>
    <row r="446" spans="1:40">
      <c r="A446">
        <v>47</v>
      </c>
      <c r="B446">
        <v>13</v>
      </c>
      <c r="C446" t="s">
        <v>264</v>
      </c>
      <c r="D446" t="s">
        <v>577</v>
      </c>
      <c r="E446" t="s">
        <v>578</v>
      </c>
      <c r="G446" t="s">
        <v>576</v>
      </c>
      <c r="AG446"/>
      <c r="AH446"/>
      <c r="AI446"/>
      <c r="AJ446"/>
      <c r="AK446"/>
      <c r="AL446"/>
      <c r="AM446"/>
      <c r="AN446"/>
    </row>
    <row r="447" spans="1:40">
      <c r="A447">
        <v>48</v>
      </c>
      <c r="B447">
        <v>13</v>
      </c>
      <c r="C447" t="s">
        <v>264</v>
      </c>
      <c r="D447" t="s">
        <v>577</v>
      </c>
      <c r="E447" t="s">
        <v>578</v>
      </c>
      <c r="G447" t="s">
        <v>576</v>
      </c>
      <c r="AG447"/>
      <c r="AH447"/>
      <c r="AI447"/>
      <c r="AJ447"/>
      <c r="AK447"/>
      <c r="AL447"/>
      <c r="AM447"/>
      <c r="AN447"/>
    </row>
    <row r="448" spans="1:40">
      <c r="A448">
        <v>49</v>
      </c>
      <c r="B448">
        <v>13</v>
      </c>
      <c r="C448" t="s">
        <v>264</v>
      </c>
      <c r="D448" t="s">
        <v>577</v>
      </c>
      <c r="E448" t="s">
        <v>578</v>
      </c>
      <c r="G448" t="s">
        <v>576</v>
      </c>
      <c r="AG448"/>
      <c r="AH448"/>
      <c r="AI448"/>
      <c r="AJ448"/>
      <c r="AK448"/>
      <c r="AL448"/>
      <c r="AM448"/>
      <c r="AN448"/>
    </row>
    <row r="449" spans="1:40">
      <c r="A449">
        <v>50</v>
      </c>
      <c r="B449">
        <v>13</v>
      </c>
      <c r="C449" t="s">
        <v>264</v>
      </c>
      <c r="D449" t="s">
        <v>577</v>
      </c>
      <c r="E449" t="s">
        <v>578</v>
      </c>
      <c r="G449" t="s">
        <v>576</v>
      </c>
      <c r="AG449"/>
      <c r="AH449"/>
      <c r="AI449"/>
      <c r="AJ449"/>
      <c r="AK449"/>
      <c r="AL449"/>
      <c r="AM449"/>
      <c r="AN449"/>
    </row>
    <row r="450" spans="1:40">
      <c r="A450">
        <v>51</v>
      </c>
      <c r="B450">
        <v>13</v>
      </c>
      <c r="C450" t="s">
        <v>264</v>
      </c>
      <c r="D450" t="s">
        <v>577</v>
      </c>
      <c r="E450" t="s">
        <v>578</v>
      </c>
      <c r="G450" t="s">
        <v>576</v>
      </c>
      <c r="AG450"/>
      <c r="AH450"/>
      <c r="AI450"/>
      <c r="AJ450"/>
      <c r="AK450"/>
      <c r="AL450"/>
      <c r="AM450"/>
      <c r="AN450"/>
    </row>
    <row r="451" spans="1:40">
      <c r="A451">
        <v>52</v>
      </c>
      <c r="B451">
        <v>13</v>
      </c>
      <c r="C451" t="s">
        <v>264</v>
      </c>
      <c r="D451" t="s">
        <v>577</v>
      </c>
      <c r="E451" t="s">
        <v>578</v>
      </c>
      <c r="G451" t="s">
        <v>576</v>
      </c>
      <c r="AG451"/>
      <c r="AH451"/>
      <c r="AI451"/>
      <c r="AJ451"/>
      <c r="AK451"/>
      <c r="AL451"/>
      <c r="AM451"/>
      <c r="AN451"/>
    </row>
    <row r="452" spans="1:40">
      <c r="A452">
        <v>53</v>
      </c>
      <c r="B452">
        <v>13</v>
      </c>
      <c r="C452" t="s">
        <v>264</v>
      </c>
      <c r="D452" t="s">
        <v>577</v>
      </c>
      <c r="E452" t="s">
        <v>578</v>
      </c>
      <c r="G452" t="s">
        <v>576</v>
      </c>
      <c r="AG452"/>
      <c r="AH452"/>
      <c r="AI452"/>
      <c r="AJ452"/>
      <c r="AK452"/>
      <c r="AL452"/>
      <c r="AM452"/>
      <c r="AN452"/>
    </row>
    <row r="453" spans="1:40">
      <c r="A453">
        <v>54</v>
      </c>
      <c r="B453">
        <v>13</v>
      </c>
      <c r="C453" t="s">
        <v>264</v>
      </c>
      <c r="D453" t="s">
        <v>577</v>
      </c>
      <c r="E453" t="s">
        <v>578</v>
      </c>
      <c r="G453" t="s">
        <v>576</v>
      </c>
      <c r="AG453"/>
      <c r="AH453"/>
      <c r="AI453"/>
      <c r="AJ453"/>
      <c r="AK453"/>
      <c r="AL453"/>
      <c r="AM453"/>
      <c r="AN453"/>
    </row>
    <row r="454" spans="1:40">
      <c r="A454">
        <v>55</v>
      </c>
      <c r="B454">
        <v>13</v>
      </c>
      <c r="C454" t="s">
        <v>264</v>
      </c>
      <c r="D454" t="s">
        <v>577</v>
      </c>
      <c r="E454" t="s">
        <v>578</v>
      </c>
      <c r="G454" t="s">
        <v>576</v>
      </c>
      <c r="AG454"/>
      <c r="AH454"/>
      <c r="AI454"/>
      <c r="AJ454"/>
      <c r="AK454"/>
      <c r="AL454"/>
      <c r="AM454"/>
      <c r="AN454"/>
    </row>
    <row r="455" spans="1:40">
      <c r="A455">
        <v>56</v>
      </c>
      <c r="B455">
        <v>13</v>
      </c>
      <c r="C455" t="s">
        <v>264</v>
      </c>
      <c r="D455" t="s">
        <v>577</v>
      </c>
      <c r="E455" t="s">
        <v>578</v>
      </c>
      <c r="G455" t="s">
        <v>576</v>
      </c>
      <c r="AG455"/>
      <c r="AH455"/>
      <c r="AI455"/>
      <c r="AJ455"/>
      <c r="AK455"/>
      <c r="AL455"/>
      <c r="AM455"/>
      <c r="AN455"/>
    </row>
    <row r="456" spans="1:40">
      <c r="A456">
        <v>57</v>
      </c>
      <c r="B456">
        <v>13</v>
      </c>
      <c r="C456" t="s">
        <v>264</v>
      </c>
      <c r="D456" t="s">
        <v>577</v>
      </c>
      <c r="E456" t="s">
        <v>578</v>
      </c>
      <c r="G456" t="s">
        <v>576</v>
      </c>
      <c r="AG456"/>
      <c r="AH456"/>
      <c r="AI456"/>
      <c r="AJ456"/>
      <c r="AK456"/>
      <c r="AL456"/>
      <c r="AM456"/>
      <c r="AN456"/>
    </row>
    <row r="457" spans="1:40">
      <c r="A457">
        <v>58</v>
      </c>
      <c r="B457">
        <v>13</v>
      </c>
      <c r="C457" t="s">
        <v>264</v>
      </c>
      <c r="D457" t="s">
        <v>577</v>
      </c>
      <c r="E457" t="s">
        <v>578</v>
      </c>
      <c r="G457" t="s">
        <v>576</v>
      </c>
      <c r="AG457"/>
      <c r="AH457"/>
      <c r="AI457"/>
      <c r="AJ457"/>
      <c r="AK457"/>
      <c r="AL457"/>
      <c r="AM457"/>
      <c r="AN457"/>
    </row>
    <row r="458" spans="1:40">
      <c r="A458">
        <v>59</v>
      </c>
      <c r="B458">
        <v>13</v>
      </c>
      <c r="C458" t="s">
        <v>264</v>
      </c>
      <c r="D458" t="s">
        <v>577</v>
      </c>
      <c r="E458" t="s">
        <v>578</v>
      </c>
      <c r="G458" t="s">
        <v>576</v>
      </c>
      <c r="AG458"/>
      <c r="AH458"/>
      <c r="AI458"/>
      <c r="AJ458"/>
      <c r="AK458"/>
      <c r="AL458"/>
      <c r="AM458"/>
      <c r="AN458"/>
    </row>
    <row r="459" spans="1:40">
      <c r="A459">
        <v>60</v>
      </c>
      <c r="B459">
        <v>13</v>
      </c>
      <c r="C459" t="s">
        <v>264</v>
      </c>
      <c r="D459" t="s">
        <v>577</v>
      </c>
      <c r="E459" t="s">
        <v>578</v>
      </c>
      <c r="G459" t="s">
        <v>576</v>
      </c>
      <c r="AG459"/>
      <c r="AH459"/>
      <c r="AI459"/>
      <c r="AJ459"/>
      <c r="AK459"/>
      <c r="AL459"/>
      <c r="AM459"/>
      <c r="AN459"/>
    </row>
    <row r="460" spans="1:40">
      <c r="A460">
        <v>61</v>
      </c>
      <c r="B460">
        <v>13</v>
      </c>
      <c r="C460" t="s">
        <v>264</v>
      </c>
      <c r="D460" t="s">
        <v>577</v>
      </c>
      <c r="E460" t="s">
        <v>578</v>
      </c>
      <c r="G460" t="s">
        <v>576</v>
      </c>
      <c r="AG460"/>
      <c r="AH460"/>
      <c r="AI460"/>
      <c r="AJ460"/>
      <c r="AK460"/>
      <c r="AL460"/>
      <c r="AM460"/>
      <c r="AN460"/>
    </row>
    <row r="461" spans="1:40">
      <c r="A461">
        <v>62</v>
      </c>
      <c r="B461">
        <v>13</v>
      </c>
      <c r="C461" t="s">
        <v>264</v>
      </c>
      <c r="D461" t="s">
        <v>577</v>
      </c>
      <c r="E461" t="s">
        <v>578</v>
      </c>
      <c r="G461" t="s">
        <v>576</v>
      </c>
      <c r="AG461"/>
      <c r="AH461"/>
      <c r="AI461"/>
      <c r="AJ461"/>
      <c r="AK461"/>
      <c r="AL461"/>
      <c r="AM461"/>
      <c r="AN461"/>
    </row>
    <row r="462" spans="1:40">
      <c r="AG462"/>
      <c r="AH462"/>
      <c r="AI462"/>
      <c r="AJ462"/>
      <c r="AK462"/>
      <c r="AL462"/>
      <c r="AM462"/>
      <c r="AN462"/>
    </row>
    <row r="463" spans="1:40">
      <c r="AG463"/>
      <c r="AH463"/>
      <c r="AI463"/>
      <c r="AJ463"/>
      <c r="AK463"/>
      <c r="AL463"/>
      <c r="AM463"/>
      <c r="AN463"/>
    </row>
    <row r="464" spans="1:40">
      <c r="AG464"/>
      <c r="AH464"/>
      <c r="AI464"/>
      <c r="AJ464"/>
      <c r="AK464"/>
      <c r="AL464"/>
      <c r="AM464"/>
      <c r="AN464"/>
    </row>
    <row r="465" spans="33:40">
      <c r="AG465"/>
      <c r="AH465"/>
      <c r="AI465"/>
      <c r="AJ465"/>
      <c r="AK465"/>
      <c r="AL465"/>
      <c r="AM465"/>
      <c r="AN465"/>
    </row>
    <row r="466" spans="33:40">
      <c r="AG466"/>
      <c r="AH466"/>
      <c r="AI466"/>
      <c r="AJ466"/>
      <c r="AK466"/>
      <c r="AL466"/>
      <c r="AM466"/>
      <c r="AN466"/>
    </row>
    <row r="467" spans="33:40">
      <c r="AG467"/>
      <c r="AH467"/>
      <c r="AI467"/>
      <c r="AJ467"/>
      <c r="AK467"/>
      <c r="AL467"/>
      <c r="AM467"/>
      <c r="AN467"/>
    </row>
    <row r="468" spans="33:40">
      <c r="AG468"/>
      <c r="AH468"/>
      <c r="AI468"/>
      <c r="AJ468"/>
      <c r="AK468"/>
      <c r="AL468"/>
      <c r="AM468"/>
      <c r="AN468"/>
    </row>
    <row r="469" spans="33:40">
      <c r="AG469"/>
      <c r="AH469"/>
      <c r="AI469"/>
      <c r="AJ469"/>
      <c r="AK469"/>
      <c r="AL469"/>
      <c r="AM469"/>
      <c r="AN469"/>
    </row>
    <row r="470" spans="33:40">
      <c r="AG470"/>
      <c r="AH470"/>
      <c r="AI470"/>
      <c r="AJ470"/>
      <c r="AK470"/>
      <c r="AL470"/>
      <c r="AM470"/>
      <c r="AN470"/>
    </row>
    <row r="471" spans="33:40">
      <c r="AG471"/>
      <c r="AH471"/>
      <c r="AI471"/>
      <c r="AJ471"/>
      <c r="AK471"/>
      <c r="AL471"/>
      <c r="AM471"/>
      <c r="AN471"/>
    </row>
    <row r="472" spans="33:40">
      <c r="AG472"/>
      <c r="AH472"/>
      <c r="AI472"/>
      <c r="AJ472"/>
      <c r="AK472"/>
      <c r="AL472"/>
      <c r="AM472"/>
      <c r="AN472"/>
    </row>
    <row r="473" spans="33:40">
      <c r="AG473"/>
      <c r="AH473"/>
      <c r="AI473"/>
      <c r="AJ473"/>
      <c r="AK473"/>
      <c r="AL473"/>
      <c r="AM473"/>
      <c r="AN473"/>
    </row>
    <row r="474" spans="33:40">
      <c r="AG474"/>
      <c r="AH474"/>
      <c r="AI474"/>
      <c r="AJ474"/>
      <c r="AK474"/>
      <c r="AL474"/>
      <c r="AM474"/>
      <c r="AN474"/>
    </row>
    <row r="475" spans="33:40">
      <c r="AG475"/>
      <c r="AH475"/>
      <c r="AI475"/>
      <c r="AJ475"/>
      <c r="AK475"/>
      <c r="AL475"/>
      <c r="AM475"/>
      <c r="AN475"/>
    </row>
    <row r="476" spans="33:40">
      <c r="AG476"/>
      <c r="AH476"/>
      <c r="AI476"/>
      <c r="AJ476"/>
      <c r="AK476"/>
      <c r="AL476"/>
      <c r="AM476"/>
      <c r="AN476"/>
    </row>
    <row r="477" spans="33:40">
      <c r="AG477"/>
      <c r="AH477"/>
      <c r="AI477"/>
      <c r="AJ477"/>
      <c r="AK477"/>
      <c r="AL477"/>
      <c r="AM477"/>
      <c r="AN477"/>
    </row>
    <row r="478" spans="33:40">
      <c r="AG478"/>
      <c r="AH478"/>
      <c r="AI478"/>
      <c r="AJ478"/>
      <c r="AK478"/>
      <c r="AL478"/>
      <c r="AM478"/>
      <c r="AN478"/>
    </row>
    <row r="479" spans="33:40">
      <c r="AG479"/>
      <c r="AH479"/>
      <c r="AI479"/>
      <c r="AJ479"/>
      <c r="AK479"/>
      <c r="AL479"/>
      <c r="AM479"/>
      <c r="AN479"/>
    </row>
    <row r="480" spans="33:40">
      <c r="AG480"/>
      <c r="AH480"/>
      <c r="AI480"/>
      <c r="AJ480"/>
      <c r="AK480"/>
      <c r="AL480"/>
      <c r="AM480"/>
      <c r="AN480"/>
    </row>
    <row r="481" spans="33:40">
      <c r="AG481"/>
      <c r="AH481"/>
      <c r="AI481"/>
      <c r="AJ481"/>
      <c r="AK481"/>
      <c r="AL481"/>
      <c r="AM481"/>
      <c r="AN481"/>
    </row>
    <row r="482" spans="33:40">
      <c r="AG482"/>
      <c r="AH482"/>
      <c r="AI482"/>
      <c r="AJ482"/>
      <c r="AK482"/>
      <c r="AL482"/>
      <c r="AM482"/>
      <c r="AN482"/>
    </row>
    <row r="483" spans="33:40">
      <c r="AG483"/>
      <c r="AH483"/>
      <c r="AI483"/>
      <c r="AJ483"/>
      <c r="AK483"/>
      <c r="AL483"/>
      <c r="AM483"/>
      <c r="AN483"/>
    </row>
    <row r="484" spans="33:40">
      <c r="AG484"/>
      <c r="AH484"/>
      <c r="AI484"/>
      <c r="AJ484"/>
      <c r="AK484"/>
      <c r="AL484"/>
      <c r="AM484"/>
      <c r="AN484"/>
    </row>
    <row r="485" spans="33:40">
      <c r="AG485"/>
      <c r="AH485"/>
      <c r="AI485"/>
      <c r="AJ485"/>
      <c r="AK485"/>
      <c r="AL485"/>
      <c r="AM485"/>
      <c r="AN485"/>
    </row>
    <row r="486" spans="33:40">
      <c r="AG486"/>
      <c r="AH486"/>
      <c r="AI486"/>
      <c r="AJ486"/>
      <c r="AK486"/>
      <c r="AL486"/>
      <c r="AM486"/>
      <c r="AN486"/>
    </row>
    <row r="487" spans="33:40">
      <c r="AG487"/>
      <c r="AH487"/>
      <c r="AI487"/>
      <c r="AJ487"/>
      <c r="AK487"/>
      <c r="AL487"/>
      <c r="AM487"/>
      <c r="AN487"/>
    </row>
    <row r="488" spans="33:40">
      <c r="AG488"/>
      <c r="AH488"/>
      <c r="AI488"/>
      <c r="AJ488"/>
      <c r="AK488"/>
      <c r="AL488"/>
      <c r="AM488"/>
      <c r="AN488"/>
    </row>
    <row r="489" spans="33:40">
      <c r="AG489"/>
      <c r="AH489"/>
      <c r="AI489"/>
      <c r="AJ489"/>
      <c r="AK489"/>
      <c r="AL489"/>
      <c r="AM489"/>
      <c r="AN489"/>
    </row>
    <row r="490" spans="33:40">
      <c r="AG490"/>
      <c r="AH490"/>
      <c r="AI490"/>
      <c r="AJ490"/>
      <c r="AK490"/>
      <c r="AL490"/>
      <c r="AM490"/>
      <c r="AN490"/>
    </row>
    <row r="491" spans="33:40">
      <c r="AG491"/>
      <c r="AH491"/>
      <c r="AI491"/>
      <c r="AJ491"/>
      <c r="AK491"/>
      <c r="AL491"/>
      <c r="AM491"/>
      <c r="AN491"/>
    </row>
    <row r="492" spans="33:40">
      <c r="AG492"/>
      <c r="AH492"/>
      <c r="AI492"/>
      <c r="AJ492"/>
      <c r="AK492"/>
      <c r="AL492"/>
      <c r="AM492"/>
      <c r="AN492"/>
    </row>
    <row r="493" spans="33:40">
      <c r="AG493"/>
      <c r="AH493"/>
      <c r="AI493"/>
      <c r="AJ493"/>
      <c r="AK493"/>
      <c r="AL493"/>
      <c r="AM493"/>
      <c r="AN493"/>
    </row>
    <row r="494" spans="33:40">
      <c r="AG494"/>
      <c r="AH494"/>
      <c r="AI494"/>
      <c r="AJ494"/>
      <c r="AK494"/>
      <c r="AL494"/>
      <c r="AM494"/>
      <c r="AN494"/>
    </row>
    <row r="495" spans="33:40">
      <c r="AG495"/>
      <c r="AH495"/>
      <c r="AI495"/>
      <c r="AJ495"/>
      <c r="AK495"/>
      <c r="AL495"/>
      <c r="AM495"/>
      <c r="AN495"/>
    </row>
    <row r="496" spans="33:40">
      <c r="AG496"/>
      <c r="AH496"/>
      <c r="AI496"/>
      <c r="AJ496"/>
      <c r="AK496"/>
      <c r="AL496"/>
      <c r="AM496"/>
      <c r="AN496"/>
    </row>
    <row r="497" spans="33:40">
      <c r="AG497"/>
      <c r="AH497"/>
      <c r="AI497"/>
      <c r="AJ497"/>
      <c r="AK497"/>
      <c r="AL497"/>
      <c r="AM497"/>
      <c r="AN497"/>
    </row>
    <row r="498" spans="33:40">
      <c r="AG498"/>
      <c r="AH498"/>
      <c r="AI498"/>
      <c r="AJ498"/>
      <c r="AK498"/>
      <c r="AL498"/>
      <c r="AM498"/>
      <c r="AN498"/>
    </row>
    <row r="499" spans="33:40">
      <c r="AG499"/>
      <c r="AH499"/>
      <c r="AI499"/>
      <c r="AJ499"/>
      <c r="AK499"/>
      <c r="AL499"/>
      <c r="AM499"/>
      <c r="AN499"/>
    </row>
    <row r="500" spans="33:40">
      <c r="AG500"/>
      <c r="AH500"/>
      <c r="AI500"/>
      <c r="AJ500"/>
      <c r="AK500"/>
      <c r="AL500"/>
      <c r="AM500"/>
      <c r="AN500"/>
    </row>
    <row r="501" spans="33:40">
      <c r="AG501"/>
      <c r="AH501"/>
      <c r="AI501"/>
      <c r="AJ501"/>
      <c r="AK501"/>
      <c r="AL501"/>
      <c r="AM501"/>
      <c r="AN501"/>
    </row>
    <row r="502" spans="33:40">
      <c r="AG502"/>
      <c r="AH502"/>
      <c r="AI502"/>
      <c r="AJ502"/>
      <c r="AK502"/>
      <c r="AL502"/>
      <c r="AM502"/>
      <c r="AN502"/>
    </row>
    <row r="503" spans="33:40">
      <c r="AG503"/>
      <c r="AH503"/>
      <c r="AI503"/>
      <c r="AJ503"/>
      <c r="AK503"/>
      <c r="AL503"/>
      <c r="AM503"/>
      <c r="AN503"/>
    </row>
    <row r="504" spans="33:40">
      <c r="AG504"/>
      <c r="AH504"/>
      <c r="AI504"/>
      <c r="AJ504"/>
      <c r="AK504"/>
      <c r="AL504"/>
      <c r="AM504"/>
      <c r="AN504"/>
    </row>
    <row r="505" spans="33:40">
      <c r="AG505"/>
      <c r="AH505"/>
      <c r="AI505"/>
      <c r="AJ505"/>
      <c r="AK505"/>
      <c r="AL505"/>
      <c r="AM505"/>
      <c r="AN505"/>
    </row>
    <row r="506" spans="33:40">
      <c r="AG506"/>
      <c r="AH506"/>
      <c r="AI506"/>
      <c r="AJ506"/>
      <c r="AK506"/>
      <c r="AL506"/>
      <c r="AM506"/>
      <c r="AN506"/>
    </row>
    <row r="507" spans="33:40">
      <c r="AG507"/>
      <c r="AH507"/>
      <c r="AI507"/>
      <c r="AJ507"/>
      <c r="AK507"/>
      <c r="AL507"/>
      <c r="AM507"/>
      <c r="AN507"/>
    </row>
    <row r="508" spans="33:40">
      <c r="AG508"/>
      <c r="AH508"/>
      <c r="AI508"/>
      <c r="AJ508"/>
      <c r="AK508"/>
      <c r="AL508"/>
      <c r="AM508"/>
      <c r="AN508"/>
    </row>
    <row r="509" spans="33:40">
      <c r="AG509"/>
      <c r="AH509"/>
      <c r="AI509"/>
      <c r="AJ509"/>
      <c r="AK509"/>
      <c r="AL509"/>
      <c r="AM509"/>
      <c r="AN509"/>
    </row>
    <row r="510" spans="33:40">
      <c r="AG510"/>
      <c r="AH510"/>
      <c r="AI510"/>
      <c r="AJ510"/>
      <c r="AK510"/>
      <c r="AL510"/>
      <c r="AM510"/>
      <c r="AN510"/>
    </row>
    <row r="511" spans="33:40">
      <c r="AG511"/>
      <c r="AH511"/>
      <c r="AI511"/>
      <c r="AJ511"/>
      <c r="AK511"/>
      <c r="AL511"/>
      <c r="AM511"/>
      <c r="AN511"/>
    </row>
    <row r="512" spans="33:40">
      <c r="AG512"/>
      <c r="AH512"/>
      <c r="AI512"/>
      <c r="AJ512"/>
      <c r="AK512"/>
      <c r="AL512"/>
      <c r="AM512"/>
      <c r="AN512"/>
    </row>
    <row r="513" spans="33:40">
      <c r="AG513"/>
      <c r="AH513"/>
      <c r="AI513"/>
      <c r="AJ513"/>
      <c r="AK513"/>
      <c r="AL513"/>
      <c r="AM513"/>
      <c r="AN513"/>
    </row>
    <row r="514" spans="33:40">
      <c r="AG514"/>
      <c r="AH514"/>
      <c r="AI514"/>
      <c r="AJ514"/>
      <c r="AK514"/>
      <c r="AL514"/>
      <c r="AM514"/>
      <c r="AN514"/>
    </row>
    <row r="515" spans="33:40">
      <c r="AG515"/>
      <c r="AH515"/>
      <c r="AI515"/>
      <c r="AJ515"/>
      <c r="AK515"/>
      <c r="AL515"/>
      <c r="AM515"/>
      <c r="AN515"/>
    </row>
    <row r="516" spans="33:40">
      <c r="AG516"/>
      <c r="AH516"/>
      <c r="AI516"/>
      <c r="AJ516"/>
      <c r="AK516"/>
      <c r="AL516"/>
      <c r="AM516"/>
      <c r="AN516"/>
    </row>
    <row r="517" spans="33:40">
      <c r="AG517"/>
      <c r="AH517"/>
      <c r="AI517"/>
      <c r="AJ517"/>
      <c r="AK517"/>
      <c r="AL517"/>
      <c r="AM517"/>
      <c r="AN517"/>
    </row>
    <row r="518" spans="33:40">
      <c r="AG518"/>
      <c r="AH518"/>
      <c r="AI518"/>
      <c r="AJ518"/>
      <c r="AK518"/>
      <c r="AL518"/>
      <c r="AM518"/>
      <c r="AN518"/>
    </row>
    <row r="519" spans="33:40">
      <c r="AG519"/>
      <c r="AH519"/>
      <c r="AI519"/>
      <c r="AJ519"/>
      <c r="AK519"/>
      <c r="AL519"/>
      <c r="AM519"/>
      <c r="AN519"/>
    </row>
    <row r="520" spans="33:40">
      <c r="AG520"/>
      <c r="AH520"/>
      <c r="AI520"/>
      <c r="AJ520"/>
      <c r="AK520"/>
      <c r="AL520"/>
      <c r="AM520"/>
      <c r="AN520"/>
    </row>
    <row r="521" spans="33:40">
      <c r="AG521"/>
      <c r="AH521"/>
      <c r="AI521"/>
      <c r="AJ521"/>
      <c r="AK521"/>
      <c r="AL521"/>
      <c r="AM521"/>
      <c r="AN521"/>
    </row>
    <row r="522" spans="33:40">
      <c r="AG522"/>
      <c r="AH522"/>
      <c r="AI522"/>
      <c r="AJ522"/>
      <c r="AK522"/>
      <c r="AL522"/>
      <c r="AM522"/>
      <c r="AN522"/>
    </row>
    <row r="523" spans="33:40">
      <c r="AG523"/>
      <c r="AH523"/>
      <c r="AI523"/>
      <c r="AJ523"/>
      <c r="AK523"/>
      <c r="AL523"/>
      <c r="AM523"/>
      <c r="AN523"/>
    </row>
    <row r="524" spans="33:40">
      <c r="AG524"/>
      <c r="AH524"/>
      <c r="AI524"/>
      <c r="AJ524"/>
      <c r="AK524"/>
      <c r="AL524"/>
      <c r="AM524"/>
      <c r="AN524"/>
    </row>
    <row r="525" spans="33:40">
      <c r="AG525"/>
      <c r="AH525"/>
      <c r="AI525"/>
      <c r="AJ525"/>
      <c r="AK525"/>
      <c r="AL525"/>
      <c r="AM525"/>
      <c r="AN525"/>
    </row>
    <row r="526" spans="33:40">
      <c r="AG526"/>
      <c r="AH526"/>
      <c r="AI526"/>
      <c r="AJ526"/>
      <c r="AK526"/>
      <c r="AL526"/>
      <c r="AM526"/>
      <c r="AN526"/>
    </row>
    <row r="527" spans="33:40">
      <c r="AG527"/>
      <c r="AH527"/>
      <c r="AI527"/>
      <c r="AJ527"/>
      <c r="AK527"/>
      <c r="AL527"/>
      <c r="AM527"/>
      <c r="AN527"/>
    </row>
    <row r="528" spans="33:40">
      <c r="AG528"/>
      <c r="AH528"/>
      <c r="AI528"/>
      <c r="AJ528"/>
      <c r="AK528"/>
      <c r="AL528"/>
      <c r="AM528"/>
      <c r="AN528"/>
    </row>
    <row r="529" spans="33:40">
      <c r="AG529"/>
      <c r="AH529"/>
      <c r="AI529"/>
      <c r="AJ529"/>
      <c r="AK529"/>
      <c r="AL529"/>
      <c r="AM529"/>
      <c r="AN529"/>
    </row>
    <row r="530" spans="33:40">
      <c r="AG530"/>
      <c r="AH530"/>
      <c r="AI530"/>
      <c r="AJ530"/>
      <c r="AK530"/>
      <c r="AL530"/>
      <c r="AM530"/>
      <c r="AN530"/>
    </row>
    <row r="531" spans="33:40">
      <c r="AG531"/>
      <c r="AH531"/>
      <c r="AI531"/>
      <c r="AJ531"/>
      <c r="AK531"/>
      <c r="AL531"/>
      <c r="AM531"/>
      <c r="AN531"/>
    </row>
    <row r="532" spans="33:40">
      <c r="AG532"/>
      <c r="AH532"/>
      <c r="AI532"/>
      <c r="AJ532"/>
      <c r="AK532"/>
      <c r="AL532"/>
      <c r="AM532"/>
      <c r="AN532"/>
    </row>
    <row r="533" spans="33:40">
      <c r="AG533"/>
      <c r="AH533"/>
      <c r="AI533"/>
      <c r="AJ533"/>
      <c r="AK533"/>
      <c r="AL533"/>
      <c r="AM533"/>
      <c r="AN533"/>
    </row>
    <row r="534" spans="33:40">
      <c r="AG534"/>
      <c r="AH534"/>
      <c r="AI534"/>
      <c r="AJ534"/>
      <c r="AK534"/>
      <c r="AL534"/>
      <c r="AM534"/>
      <c r="AN534"/>
    </row>
    <row r="535" spans="33:40">
      <c r="AG535"/>
      <c r="AH535"/>
      <c r="AI535"/>
      <c r="AJ535"/>
      <c r="AK535"/>
      <c r="AL535"/>
      <c r="AM535"/>
      <c r="AN535"/>
    </row>
    <row r="536" spans="33:40">
      <c r="AG536"/>
      <c r="AH536"/>
      <c r="AI536"/>
      <c r="AJ536"/>
      <c r="AK536"/>
      <c r="AL536"/>
      <c r="AM536"/>
      <c r="AN536"/>
    </row>
    <row r="537" spans="33:40">
      <c r="AG537"/>
      <c r="AH537"/>
      <c r="AI537"/>
      <c r="AJ537"/>
      <c r="AK537"/>
      <c r="AL537"/>
      <c r="AM537"/>
      <c r="AN537"/>
    </row>
    <row r="538" spans="33:40">
      <c r="AG538"/>
      <c r="AH538"/>
      <c r="AI538"/>
      <c r="AJ538"/>
      <c r="AK538"/>
      <c r="AL538"/>
      <c r="AM538"/>
      <c r="AN538"/>
    </row>
    <row r="539" spans="33:40">
      <c r="AG539"/>
      <c r="AH539"/>
      <c r="AI539"/>
      <c r="AJ539"/>
      <c r="AK539"/>
      <c r="AL539"/>
      <c r="AM539"/>
      <c r="AN539"/>
    </row>
    <row r="540" spans="33:40">
      <c r="AG540"/>
      <c r="AH540"/>
      <c r="AI540"/>
      <c r="AJ540"/>
      <c r="AK540"/>
      <c r="AL540"/>
      <c r="AM540"/>
      <c r="AN540"/>
    </row>
    <row r="541" spans="33:40">
      <c r="AG541"/>
      <c r="AH541"/>
      <c r="AI541"/>
      <c r="AJ541"/>
      <c r="AK541"/>
      <c r="AL541"/>
      <c r="AM541"/>
      <c r="AN541"/>
    </row>
    <row r="542" spans="33:40">
      <c r="AG542"/>
      <c r="AH542"/>
      <c r="AI542"/>
      <c r="AJ542"/>
      <c r="AK542"/>
      <c r="AL542"/>
      <c r="AM542"/>
      <c r="AN542"/>
    </row>
    <row r="543" spans="33:40">
      <c r="AG543"/>
      <c r="AH543"/>
      <c r="AI543"/>
      <c r="AJ543"/>
      <c r="AK543"/>
      <c r="AL543"/>
      <c r="AM543"/>
      <c r="AN543"/>
    </row>
    <row r="544" spans="33:40">
      <c r="AG544"/>
      <c r="AH544"/>
      <c r="AI544"/>
      <c r="AJ544"/>
      <c r="AK544"/>
      <c r="AL544"/>
      <c r="AM544"/>
      <c r="AN544"/>
    </row>
    <row r="545" spans="33:40">
      <c r="AG545"/>
      <c r="AH545"/>
      <c r="AI545"/>
      <c r="AJ545"/>
      <c r="AK545"/>
      <c r="AL545"/>
      <c r="AM545"/>
      <c r="AN545"/>
    </row>
    <row r="546" spans="33:40">
      <c r="AG546"/>
      <c r="AH546"/>
      <c r="AI546"/>
      <c r="AJ546"/>
      <c r="AK546"/>
      <c r="AL546"/>
      <c r="AM546"/>
      <c r="AN546"/>
    </row>
    <row r="547" spans="33:40">
      <c r="AG547"/>
      <c r="AH547"/>
      <c r="AI547"/>
      <c r="AJ547"/>
      <c r="AK547"/>
      <c r="AL547"/>
      <c r="AM547"/>
      <c r="AN547"/>
    </row>
    <row r="548" spans="33:40">
      <c r="AG548"/>
      <c r="AH548"/>
      <c r="AI548"/>
      <c r="AJ548"/>
      <c r="AK548"/>
      <c r="AL548"/>
      <c r="AM548"/>
      <c r="AN548"/>
    </row>
    <row r="549" spans="33:40">
      <c r="AG549"/>
      <c r="AH549"/>
      <c r="AI549"/>
      <c r="AJ549"/>
      <c r="AK549"/>
      <c r="AL549"/>
      <c r="AM549"/>
      <c r="AN549"/>
    </row>
    <row r="550" spans="33:40">
      <c r="AG550"/>
      <c r="AH550"/>
      <c r="AI550"/>
      <c r="AJ550"/>
      <c r="AK550"/>
      <c r="AL550"/>
      <c r="AM550"/>
      <c r="AN550"/>
    </row>
    <row r="551" spans="33:40">
      <c r="AG551"/>
      <c r="AH551"/>
      <c r="AI551"/>
      <c r="AJ551"/>
      <c r="AK551"/>
      <c r="AL551"/>
      <c r="AM551"/>
      <c r="AN551"/>
    </row>
    <row r="552" spans="33:40">
      <c r="AG552"/>
      <c r="AH552"/>
      <c r="AI552"/>
      <c r="AJ552"/>
      <c r="AK552"/>
      <c r="AL552"/>
      <c r="AM552"/>
      <c r="AN552"/>
    </row>
    <row r="553" spans="33:40">
      <c r="AG553"/>
      <c r="AH553"/>
      <c r="AI553"/>
      <c r="AJ553"/>
      <c r="AK553"/>
      <c r="AL553"/>
      <c r="AM553"/>
      <c r="AN553"/>
    </row>
    <row r="554" spans="33:40">
      <c r="AG554"/>
      <c r="AH554"/>
      <c r="AI554"/>
      <c r="AJ554"/>
      <c r="AK554"/>
      <c r="AL554"/>
      <c r="AM554"/>
      <c r="AN554"/>
    </row>
    <row r="555" spans="33:40">
      <c r="AG555"/>
      <c r="AH555"/>
      <c r="AI555"/>
      <c r="AJ555"/>
      <c r="AK555"/>
      <c r="AL555"/>
      <c r="AM555"/>
      <c r="AN555"/>
    </row>
    <row r="556" spans="33:40">
      <c r="AG556"/>
      <c r="AH556"/>
      <c r="AI556"/>
      <c r="AJ556"/>
      <c r="AK556"/>
      <c r="AL556"/>
      <c r="AM556"/>
      <c r="AN556"/>
    </row>
    <row r="557" spans="33:40">
      <c r="AG557"/>
      <c r="AH557"/>
      <c r="AI557"/>
      <c r="AJ557"/>
      <c r="AK557"/>
      <c r="AL557"/>
      <c r="AM557"/>
      <c r="AN557"/>
    </row>
    <row r="558" spans="33:40">
      <c r="AG558"/>
      <c r="AH558"/>
      <c r="AI558"/>
      <c r="AJ558"/>
      <c r="AK558"/>
      <c r="AL558"/>
      <c r="AM558"/>
      <c r="AN558"/>
    </row>
    <row r="559" spans="33:40">
      <c r="AG559"/>
      <c r="AH559"/>
      <c r="AI559"/>
      <c r="AJ559"/>
      <c r="AK559"/>
      <c r="AL559"/>
      <c r="AM559"/>
      <c r="AN559"/>
    </row>
    <row r="560" spans="33:40">
      <c r="AG560"/>
      <c r="AH560"/>
      <c r="AI560"/>
      <c r="AJ560"/>
      <c r="AK560"/>
      <c r="AL560"/>
      <c r="AM560"/>
      <c r="AN560"/>
    </row>
    <row r="561" spans="33:40">
      <c r="AG561"/>
      <c r="AH561"/>
      <c r="AI561"/>
      <c r="AJ561"/>
      <c r="AK561"/>
      <c r="AL561"/>
      <c r="AM561"/>
      <c r="AN561"/>
    </row>
    <row r="562" spans="33:40">
      <c r="AG562"/>
      <c r="AH562"/>
      <c r="AI562"/>
      <c r="AJ562"/>
      <c r="AK562"/>
      <c r="AL562"/>
      <c r="AM562"/>
      <c r="AN562"/>
    </row>
    <row r="563" spans="33:40">
      <c r="AG563"/>
      <c r="AH563"/>
      <c r="AI563"/>
      <c r="AJ563"/>
      <c r="AK563"/>
      <c r="AL563"/>
      <c r="AM563"/>
      <c r="AN563"/>
    </row>
    <row r="564" spans="33:40">
      <c r="AG564"/>
      <c r="AH564"/>
      <c r="AI564"/>
      <c r="AJ564"/>
      <c r="AK564"/>
      <c r="AL564"/>
      <c r="AM564"/>
      <c r="AN564"/>
    </row>
    <row r="565" spans="33:40">
      <c r="AG565"/>
      <c r="AH565"/>
      <c r="AI565"/>
      <c r="AJ565"/>
      <c r="AK565"/>
      <c r="AL565"/>
      <c r="AM565"/>
      <c r="AN565"/>
    </row>
    <row r="566" spans="33:40">
      <c r="AG566"/>
      <c r="AH566"/>
      <c r="AI566"/>
      <c r="AJ566"/>
      <c r="AK566"/>
      <c r="AL566"/>
      <c r="AM566"/>
      <c r="AN566"/>
    </row>
    <row r="567" spans="33:40">
      <c r="AG567"/>
      <c r="AH567"/>
      <c r="AI567"/>
      <c r="AJ567"/>
      <c r="AK567"/>
      <c r="AL567"/>
      <c r="AM567"/>
      <c r="AN567"/>
    </row>
    <row r="568" spans="33:40">
      <c r="AG568"/>
      <c r="AH568"/>
      <c r="AI568"/>
      <c r="AJ568"/>
      <c r="AK568"/>
      <c r="AL568"/>
      <c r="AM568"/>
      <c r="AN568"/>
    </row>
    <row r="569" spans="33:40">
      <c r="AG569"/>
      <c r="AH569"/>
      <c r="AI569"/>
      <c r="AJ569"/>
      <c r="AK569"/>
      <c r="AL569"/>
      <c r="AM569"/>
      <c r="AN569"/>
    </row>
    <row r="570" spans="33:40">
      <c r="AG570"/>
      <c r="AH570"/>
      <c r="AI570"/>
      <c r="AJ570"/>
      <c r="AK570"/>
      <c r="AL570"/>
      <c r="AM570"/>
      <c r="AN570"/>
    </row>
    <row r="571" spans="33:40">
      <c r="AG571"/>
      <c r="AH571"/>
      <c r="AI571"/>
      <c r="AJ571"/>
      <c r="AK571"/>
      <c r="AL571"/>
      <c r="AM571"/>
      <c r="AN571"/>
    </row>
    <row r="572" spans="33:40">
      <c r="AG572"/>
      <c r="AH572"/>
      <c r="AI572"/>
      <c r="AJ572"/>
      <c r="AK572"/>
      <c r="AL572"/>
      <c r="AM572"/>
      <c r="AN572"/>
    </row>
    <row r="573" spans="33:40">
      <c r="AG573"/>
      <c r="AH573"/>
      <c r="AI573"/>
      <c r="AJ573"/>
      <c r="AK573"/>
      <c r="AL573"/>
      <c r="AM573"/>
      <c r="AN573"/>
    </row>
    <row r="574" spans="33:40">
      <c r="AG574"/>
      <c r="AH574"/>
      <c r="AI574"/>
      <c r="AJ574"/>
      <c r="AK574"/>
      <c r="AL574"/>
      <c r="AM574"/>
      <c r="AN574"/>
    </row>
    <row r="575" spans="33:40">
      <c r="AG575"/>
      <c r="AH575"/>
      <c r="AI575"/>
      <c r="AJ575"/>
      <c r="AK575"/>
      <c r="AL575"/>
      <c r="AM575"/>
      <c r="AN575"/>
    </row>
    <row r="576" spans="33:40">
      <c r="AG576"/>
      <c r="AH576"/>
      <c r="AI576"/>
      <c r="AJ576"/>
      <c r="AK576"/>
      <c r="AL576"/>
      <c r="AM576"/>
      <c r="AN576"/>
    </row>
    <row r="577" spans="33:40">
      <c r="AG577"/>
      <c r="AH577"/>
      <c r="AI577"/>
      <c r="AJ577"/>
      <c r="AK577"/>
      <c r="AL577"/>
      <c r="AM577"/>
      <c r="AN577"/>
    </row>
    <row r="578" spans="33:40">
      <c r="AG578"/>
      <c r="AH578"/>
      <c r="AI578"/>
      <c r="AJ578"/>
      <c r="AK578"/>
      <c r="AL578"/>
      <c r="AM578"/>
      <c r="AN578"/>
    </row>
    <row r="579" spans="33:40">
      <c r="AG579"/>
      <c r="AH579"/>
      <c r="AI579"/>
      <c r="AJ579"/>
      <c r="AK579"/>
      <c r="AL579"/>
      <c r="AM579"/>
      <c r="AN579"/>
    </row>
    <row r="580" spans="33:40">
      <c r="AG580"/>
      <c r="AH580"/>
      <c r="AI580"/>
      <c r="AJ580"/>
      <c r="AK580"/>
      <c r="AL580"/>
      <c r="AM580"/>
      <c r="AN580"/>
    </row>
    <row r="581" spans="33:40">
      <c r="AG581"/>
      <c r="AH581"/>
      <c r="AI581"/>
      <c r="AJ581"/>
      <c r="AK581"/>
      <c r="AL581"/>
      <c r="AM581"/>
      <c r="AN581"/>
    </row>
    <row r="582" spans="33:40">
      <c r="AG582"/>
      <c r="AH582"/>
      <c r="AI582"/>
      <c r="AJ582"/>
      <c r="AK582"/>
      <c r="AL582"/>
      <c r="AM582"/>
      <c r="AN582"/>
    </row>
    <row r="583" spans="33:40">
      <c r="AG583"/>
      <c r="AH583"/>
      <c r="AI583"/>
      <c r="AJ583"/>
      <c r="AK583"/>
      <c r="AL583"/>
      <c r="AM583"/>
      <c r="AN583"/>
    </row>
    <row r="584" spans="33:40">
      <c r="AG584"/>
      <c r="AH584"/>
      <c r="AI584"/>
      <c r="AJ584"/>
      <c r="AK584"/>
      <c r="AL584"/>
      <c r="AM584"/>
      <c r="AN584"/>
    </row>
    <row r="585" spans="33:40">
      <c r="AG585"/>
      <c r="AH585"/>
      <c r="AI585"/>
      <c r="AJ585"/>
      <c r="AK585"/>
      <c r="AL585"/>
      <c r="AM585"/>
      <c r="AN585"/>
    </row>
    <row r="586" spans="33:40">
      <c r="AG586"/>
      <c r="AH586"/>
      <c r="AI586"/>
      <c r="AJ586"/>
      <c r="AK586"/>
      <c r="AL586"/>
      <c r="AM586"/>
      <c r="AN586"/>
    </row>
    <row r="587" spans="33:40">
      <c r="AG587"/>
      <c r="AH587"/>
      <c r="AI587"/>
      <c r="AJ587"/>
      <c r="AK587"/>
      <c r="AL587"/>
      <c r="AM587"/>
      <c r="AN587"/>
    </row>
    <row r="588" spans="33:40">
      <c r="AG588"/>
      <c r="AH588"/>
      <c r="AI588"/>
      <c r="AJ588"/>
      <c r="AK588"/>
      <c r="AL588"/>
      <c r="AM588"/>
      <c r="AN588"/>
    </row>
    <row r="589" spans="33:40">
      <c r="AG589"/>
      <c r="AH589"/>
      <c r="AI589"/>
      <c r="AJ589"/>
      <c r="AK589"/>
      <c r="AL589"/>
      <c r="AM589"/>
      <c r="AN589"/>
    </row>
    <row r="590" spans="33:40">
      <c r="AG590"/>
      <c r="AH590"/>
      <c r="AI590"/>
      <c r="AJ590"/>
      <c r="AK590"/>
      <c r="AL590"/>
      <c r="AM590"/>
      <c r="AN590"/>
    </row>
    <row r="591" spans="33:40">
      <c r="AG591"/>
      <c r="AH591"/>
      <c r="AI591"/>
      <c r="AJ591"/>
      <c r="AK591"/>
      <c r="AL591"/>
      <c r="AM591"/>
      <c r="AN591"/>
    </row>
    <row r="592" spans="33:40">
      <c r="AG592"/>
      <c r="AH592"/>
      <c r="AI592"/>
      <c r="AJ592"/>
      <c r="AK592"/>
      <c r="AL592"/>
      <c r="AM592"/>
      <c r="AN592"/>
    </row>
    <row r="593" spans="33:40">
      <c r="AG593"/>
      <c r="AH593"/>
      <c r="AI593"/>
      <c r="AJ593"/>
      <c r="AK593"/>
      <c r="AL593"/>
      <c r="AM593"/>
      <c r="AN593"/>
    </row>
    <row r="594" spans="33:40">
      <c r="AG594"/>
      <c r="AH594"/>
      <c r="AI594"/>
      <c r="AJ594"/>
      <c r="AK594"/>
      <c r="AL594"/>
      <c r="AM594"/>
      <c r="AN594"/>
    </row>
    <row r="595" spans="33:40">
      <c r="AG595"/>
      <c r="AH595"/>
      <c r="AI595"/>
      <c r="AJ595"/>
      <c r="AK595"/>
      <c r="AL595"/>
      <c r="AM595"/>
      <c r="AN595"/>
    </row>
    <row r="596" spans="33:40">
      <c r="AG596"/>
      <c r="AH596"/>
      <c r="AI596"/>
      <c r="AJ596"/>
      <c r="AK596"/>
      <c r="AL596"/>
      <c r="AM596"/>
      <c r="AN596"/>
    </row>
    <row r="597" spans="33:40">
      <c r="AG597"/>
      <c r="AH597"/>
      <c r="AI597"/>
      <c r="AJ597"/>
      <c r="AK597"/>
      <c r="AL597"/>
      <c r="AM597"/>
      <c r="AN597"/>
    </row>
    <row r="598" spans="33:40">
      <c r="AG598"/>
      <c r="AH598"/>
      <c r="AI598"/>
      <c r="AJ598"/>
      <c r="AK598"/>
      <c r="AL598"/>
      <c r="AM598"/>
      <c r="AN598"/>
    </row>
    <row r="599" spans="33:40">
      <c r="AG599"/>
      <c r="AH599"/>
      <c r="AI599"/>
      <c r="AJ599"/>
      <c r="AK599"/>
      <c r="AL599"/>
      <c r="AM599"/>
      <c r="AN599"/>
    </row>
    <row r="600" spans="33:40">
      <c r="AG600"/>
      <c r="AH600"/>
      <c r="AI600"/>
      <c r="AJ600"/>
      <c r="AK600"/>
      <c r="AL600"/>
      <c r="AM600"/>
      <c r="AN600"/>
    </row>
  </sheetData>
  <customSheetViews>
    <customSheetView guid="{A1A80B5C-2CE2-4C99-93FF-BF9E8876EAD0}" scale="85" showRuler="0">
      <selection activeCell="X18" sqref="X18:AC21"/>
      <pageMargins left="0.75" right="0.75" top="1" bottom="1" header="0.5" footer="0.5"/>
      <pageSetup paperSize="9" orientation="portrait" r:id="rId1"/>
      <headerFooter alignWithMargins="0"/>
    </customSheetView>
  </customSheetViews>
  <mergeCells count="65">
    <mergeCell ref="AG2:AH2"/>
    <mergeCell ref="AI2:AJ2"/>
    <mergeCell ref="AK2:AL2"/>
    <mergeCell ref="AG3:AH3"/>
    <mergeCell ref="AI3:AJ3"/>
    <mergeCell ref="AK3:AL3"/>
    <mergeCell ref="AC2:AD4"/>
    <mergeCell ref="AB5:AC7"/>
    <mergeCell ref="AD6:AD7"/>
    <mergeCell ref="L35:L36"/>
    <mergeCell ref="X7:Y7"/>
    <mergeCell ref="X10:AA11"/>
    <mergeCell ref="X15:Y15"/>
    <mergeCell ref="AB2:AB4"/>
    <mergeCell ref="X18:AC22"/>
    <mergeCell ref="X27:AC34"/>
    <mergeCell ref="H2:K4"/>
    <mergeCell ref="T2:T4"/>
    <mergeCell ref="U3:U4"/>
    <mergeCell ref="I7:K9"/>
    <mergeCell ref="B5:C5"/>
    <mergeCell ref="D5:E5"/>
    <mergeCell ref="H5:H9"/>
    <mergeCell ref="B6:C6"/>
    <mergeCell ref="D6:E6"/>
    <mergeCell ref="B7:C7"/>
    <mergeCell ref="B15:C15"/>
    <mergeCell ref="D15:E15"/>
    <mergeCell ref="D7:E7"/>
    <mergeCell ref="B9:C9"/>
    <mergeCell ref="D9:E9"/>
    <mergeCell ref="B8:C8"/>
    <mergeCell ref="D8:E8"/>
    <mergeCell ref="B11:C11"/>
    <mergeCell ref="D11:E11"/>
    <mergeCell ref="D25:E25"/>
    <mergeCell ref="H25:H27"/>
    <mergeCell ref="B26:C26"/>
    <mergeCell ref="D26:E26"/>
    <mergeCell ref="I26:I27"/>
    <mergeCell ref="F11:G11"/>
    <mergeCell ref="B12:C12"/>
    <mergeCell ref="D12:E12"/>
    <mergeCell ref="F12:G12"/>
    <mergeCell ref="B14:G14"/>
    <mergeCell ref="D28:E28"/>
    <mergeCell ref="H28:H30"/>
    <mergeCell ref="I28:K30"/>
    <mergeCell ref="B29:C29"/>
    <mergeCell ref="D29:E29"/>
    <mergeCell ref="B16:C16"/>
    <mergeCell ref="D16:E16"/>
    <mergeCell ref="H20:K21"/>
    <mergeCell ref="H22:K24"/>
    <mergeCell ref="B25:C25"/>
    <mergeCell ref="J26:J27"/>
    <mergeCell ref="B30:C30"/>
    <mergeCell ref="D30:E30"/>
    <mergeCell ref="B17:C17"/>
    <mergeCell ref="D17:E17"/>
    <mergeCell ref="N38:O51"/>
    <mergeCell ref="K26:K27"/>
    <mergeCell ref="B27:C27"/>
    <mergeCell ref="D27:E27"/>
    <mergeCell ref="B28:C28"/>
  </mergeCells>
  <phoneticPr fontId="3" type="noConversion"/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Инструкция</vt:lpstr>
      <vt:lpstr>ВР_ИЗМ</vt:lpstr>
      <vt:lpstr>Штамп</vt:lpstr>
      <vt:lpstr>ВР_ИЗМ!Область_печати</vt:lpstr>
    </vt:vector>
  </TitlesOfParts>
  <Company>UUU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GTP</dc:creator>
  <cp:lastModifiedBy>Игорь</cp:lastModifiedBy>
  <cp:lastPrinted>2023-12-18T07:28:08Z</cp:lastPrinted>
  <dcterms:created xsi:type="dcterms:W3CDTF">2007-02-27T10:56:00Z</dcterms:created>
  <dcterms:modified xsi:type="dcterms:W3CDTF">2026-05-18T16:11:15Z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Группа">
    <vt:lpwstr>Спецификация</vt:lpwstr>
  </property>
</Properties>
</file>